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hidden" name="Seleccion" sheetId="2" r:id="rId6"/>
    <sheet state="visible" name="insumos" sheetId="3" r:id="rId7"/>
    <sheet state="visible" name="Factor" sheetId="4" r:id="rId8"/>
    <sheet state="visible" name="Ingreso" sheetId="5" r:id="rId9"/>
    <sheet state="visible" name="bodega" sheetId="6" r:id="rId10"/>
    <sheet state="visible" name="ventas" sheetId="7" r:id="rId11"/>
    <sheet state="visible" name="Pedidos" sheetId="8" r:id="rId12"/>
  </sheets>
  <definedNames>
    <definedName hidden="1" localSheetId="4" name="_xlnm._FilterDatabase">Ingreso!$A$1:$M$77</definedName>
    <definedName hidden="1" localSheetId="5" name="_xlnm._FilterDatabase">bodega!$A$3:$C$79</definedName>
    <definedName hidden="1" localSheetId="6" name="_xlnm._FilterDatabase">ventas!$A$3:$Z$98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tc={75e0482a-5f8c-4e0a-8126-fe47d93d23ec}</author>
    <author>tc={9c2bed86-b3e9-4a10-a9c7-89c915139f7b}</author>
    <author>tc={9d3baedb-881c-4887-a3f4-b7a0fdd09ffe}</author>
    <author>tc={9d43d3ea-bff0-4222-8532-f0c1bd04a919}</author>
  </authors>
  <commentList>
    <comment authorId="0" xr:uid="{75e0482a-5f8c-4e0a-8126-fe47d93d23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Guatero monstruo
</t>
      </text>
    </comment>
    <comment authorId="1" xr:uid="{9c2bed86-b3e9-4a10-a9c7-89c915139f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Frasco miel
</t>
      </text>
    </comment>
    <comment authorId="2" xr:uid="{9d3baedb-881c-4887-a3f4-b7a0fdd09f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Guatero mounstruo
</t>
      </text>
    </comment>
    <comment authorId="3" xr:uid="{9d43d3ea-bff0-4222-8532-f0c1bd04a9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pack vitamina c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tc={07aad79c-ad2d-45b8-843c-78adac3ca560}</author>
    <author>tc={21b1b22d-dedf-412f-808c-edeb8767a35b}</author>
    <author>tc={2e8d8cba-205d-4122-9990-4d06dd1169fe}</author>
    <author>tc={41ef4484-e266-4623-8431-e880790b752e}</author>
    <author>tc={47553b4d-4fcc-41ab-a8eb-83ac9d81c591}</author>
    <author>tc={50d3af15-e57d-48e1-b39a-439aebf10618}</author>
    <author>tc={54edff95-11c2-453a-96f5-6e016bb354ce}</author>
    <author>tc={65cd986e-1dc4-4544-87ec-1112d9287ec7}</author>
    <author>tc={84ed68b7-5e3f-41d3-9c25-09f1ccad032a}</author>
    <author>tc={858804f6-f98c-49f2-8207-56007e6cc652}</author>
    <author>tc={8aa03027-44a0-499d-8539-dca26bcc68ed}</author>
    <author>tc={8c92dabb-20d9-4d15-bf81-06449a7b0de1}</author>
    <author>tc={9299f66c-43a5-456c-a842-cc307a89de68}</author>
    <author>tc={94f9f7af-a5e5-48a8-ba13-470c24d006fb}</author>
    <author>tc={ab5ad63b-c87f-4988-b102-a2b0d9c7cafd}</author>
    <author>tc={b309ea6a-bc1b-4cb8-ac3e-9d4ba80080f8}</author>
    <author>tc={beb85895-d71e-4ff4-876e-563bd4ba77a4}</author>
    <author>tc={c701a322-c220-48c3-b479-100f73cc950e}</author>
    <author>tc={e12c8944-3f2d-495b-bca4-6c09c7c8353c}</author>
    <author>tc={e3391521-f12b-4fed-aab7-24c7f63c299d}</author>
    <author>tc={e6a71358-ec49-4ea8-af12-248eea4ad1dc}</author>
    <author>tc={f28240d3-a635-49f4-88de-83f2e5a6fb25}</author>
    <author>tc={f467a83a-7789-4d81-94bc-7ff8eee3e911}</author>
    <author>tc={ff3bebc0-85b0-439e-93ff-53d2020d50c2}</author>
  </authors>
  <commentList>
    <comment authorId="0" xr:uid="{07aad79c-ad2d-45b8-843c-78adac3ca560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centrifuga
</t>
      </text>
    </comment>
    <comment authorId="1" xr:uid="{21b1b22d-dedf-412f-808c-edeb8767a35b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lechero, 1 tostador, 1 taza margarita, 1 condimentero bambu
</t>
      </text>
    </comment>
    <comment authorId="2" xr:uid="{2e8d8cba-205d-4122-9990-4d06dd1169fe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cesta cierre algodon, 1 cesta dinosaurio, 1 salvamantel, 1 taza margarita
</t>
      </text>
    </comment>
    <comment authorId="3" xr:uid="{41ef4484-e266-4623-8431-e880790b752e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mielero
</t>
      </text>
    </comment>
    <comment authorId="4" xr:uid="{47553b4d-4fcc-41ab-a8eb-83ac9d81c591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individuales azules
</t>
      </text>
    </comment>
    <comment authorId="5" xr:uid="{50d3af15-e57d-48e1-b39a-439aebf10618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Zapatero negro, 1 frutero, 1 Set Paño, 1 Dispensador lavaloza, 1 Burlete, 1 guatero, 1 set pinche
</t>
      </text>
    </comment>
    <comment authorId="6" xr:uid="{54edff95-11c2-453a-96f5-6e016bb354c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Tostador Mango Madera
Posaollas Metalico 18*18*1,5cm
Exprimidor Limon Vidrio
Abre Botellas Diseño Basquetbol 6,5*15*20cm
Especiero Bambu 8pcs
Envase Miel Vidrio
</t>
      </text>
    </comment>
    <comment authorId="7" xr:uid="{65cd986e-1dc4-4544-87ec-1112d9287ec7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panera, 1 guatero, 1 set paño, 1 lechero, 1 humidificador, 1 centrifuga
</t>
      </text>
    </comment>
    <comment authorId="8" xr:uid="{84ed68b7-5e3f-41d3-9c25-09f1ccad032a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individuales (gris azul)
</t>
      </text>
    </comment>
    <comment authorId="9" xr:uid="{858804f6-f98c-49f2-8207-56007e6cc652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exprimidor, 1 lavaloza
</t>
      </text>
    </comment>
    <comment authorId="10" xr:uid="{8aa03027-44a0-499d-8539-dca26bcc68ed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condimentero, 1 centrifuga
</t>
      </text>
    </comment>
    <comment authorId="11" xr:uid="{8c92dabb-20d9-4d15-bf81-06449a7b0de1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mielero, 1 cesta cafe tapa
</t>
      </text>
    </comment>
    <comment authorId="12" xr:uid="{9299f66c-43a5-456c-a842-cc307a89de68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cesta cafe, 2 guatero pato, 1 lavaloza
</t>
      </text>
    </comment>
    <comment authorId="13" xr:uid="{94f9f7af-a5e5-48a8-ba13-470c24d006fb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masajeador, 1 cerdito, 1 humidificador, 1 esencia
</t>
      </text>
    </comment>
    <comment authorId="14" xr:uid="{ab5ad63b-c87f-4988-b102-a2b0d9c7cafd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 individuales, 1 panera, 1 salvamantel, 1 portanova
</t>
      </text>
    </comment>
    <comment authorId="15" xr:uid="{b309ea6a-bc1b-4cb8-ac3e-9d4ba80080f8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colgante pajaros, 1 frasco miel
</t>
      </text>
    </comment>
    <comment authorId="16" xr:uid="{beb85895-d71e-4ff4-876e-563bd4ba77a4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cesta ropa cafe
</t>
      </text>
    </comment>
    <comment authorId="17" xr:uid="{c701a322-c220-48c3-b479-100f73cc950e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burlete, 1 guatero
</t>
      </text>
    </comment>
    <comment authorId="18" xr:uid="{e12c8944-3f2d-495b-bca4-6c09c7c8353c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salero y p, 1 guatero pato
</t>
      </text>
    </comment>
    <comment authorId="19" xr:uid="{e3391521-f12b-4fed-aab7-24c7f63c299d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dispensador lavaloza
</t>
      </text>
    </comment>
    <comment authorId="20" xr:uid="{e6a71358-ec49-4ea8-af12-248eea4ad1dc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Set paño, 1 porta nova
</t>
      </text>
    </comment>
    <comment authorId="21" xr:uid="{f28240d3-a635-49f4-88de-83f2e5a6fb25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taza margarita
</t>
      </text>
    </comment>
    <comment authorId="22" xr:uid="{f467a83a-7789-4d81-94bc-7ff8eee3e911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exprimidor, 1 salero pim, 1 caja te chica, 1 Salvamantel, 1 cesta ropa estampada
</t>
      </text>
    </comment>
    <comment authorId="23" xr:uid="{ff3bebc0-85b0-439e-93ff-53d2020d50c2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Humidificador
</t>
      </text>
    </comment>
  </commentList>
</comments>
</file>

<file path=xl/sharedStrings.xml><?xml version="1.0" encoding="utf-8"?>
<sst xmlns="http://schemas.openxmlformats.org/spreadsheetml/2006/main" count="537" uniqueCount="290">
  <si>
    <t>DASHBOARD AUTOMATIZADO - GOLDEN HOME</t>
  </si>
  <si>
    <t>PROYECCIÓN DE VENTAS (STOCK)</t>
  </si>
  <si>
    <t>DETALLE INSUMOS POR MES</t>
  </si>
  <si>
    <t>RESUMEN FINANCIERO (REAL)</t>
  </si>
  <si>
    <t>Total Venta Efectivo</t>
  </si>
  <si>
    <t>Mes</t>
  </si>
  <si>
    <t>Total Acumulado</t>
  </si>
  <si>
    <t>Ingresos Totales (Ventas)</t>
  </si>
  <si>
    <t>Total Venta Pagina</t>
  </si>
  <si>
    <t>Abril-2026</t>
  </si>
  <si>
    <t>Ganancia Real (Post Imp.)</t>
  </si>
  <si>
    <t>Mayo-2026</t>
  </si>
  <si>
    <t>COSTOS CONSOLIDADOS</t>
  </si>
  <si>
    <t>Junio-2026</t>
  </si>
  <si>
    <t>VENTAS POR MEDIO DE PAGO</t>
  </si>
  <si>
    <t>Costo Mercadería (Stock)</t>
  </si>
  <si>
    <t>Julio-2026</t>
  </si>
  <si>
    <t>Efectivo</t>
  </si>
  <si>
    <t>Costo Insumos (Total)</t>
  </si>
  <si>
    <t>Tarjeta</t>
  </si>
  <si>
    <t>TOTAL COSTOS OPERATIVOS</t>
  </si>
  <si>
    <t>Transferencia</t>
  </si>
  <si>
    <t>IMPUESTO A PAGAR (SII - 19%)</t>
  </si>
  <si>
    <t>ANÁLISIS DE GESTIÓN Y STOCK</t>
  </si>
  <si>
    <t>Total Impuesto Acumulado</t>
  </si>
  <si>
    <t>Unidades Vendidas</t>
  </si>
  <si>
    <t>Unidades en Stock</t>
  </si>
  <si>
    <t>COMISIONES MERCADO PAGO (2.6%)</t>
  </si>
  <si>
    <t>Total Unidades Entradas</t>
  </si>
  <si>
    <t>Total Pagado a MP</t>
  </si>
  <si>
    <t>Distribución: % Vendido</t>
  </si>
  <si>
    <t>Distribución: % en Stock</t>
  </si>
  <si>
    <t>descripcion</t>
  </si>
  <si>
    <t>sku</t>
  </si>
  <si>
    <t>costo</t>
  </si>
  <si>
    <t>unidades</t>
  </si>
  <si>
    <t xml:space="preserve">Baoma </t>
  </si>
  <si>
    <t xml:space="preserve">Cafetera por goteo 500ml </t>
  </si>
  <si>
    <t>Lucky House</t>
  </si>
  <si>
    <t>Dispensador agua electrico</t>
  </si>
  <si>
    <t>escurridor plato 1 piso</t>
  </si>
  <si>
    <t>Escurridor plato 3 pisos</t>
  </si>
  <si>
    <t>Escurridor plato 2 pisos</t>
  </si>
  <si>
    <t>Escurridor Cubierto</t>
  </si>
  <si>
    <t>Estante Organizador 3 niveles ruedas (blanco y negro)</t>
  </si>
  <si>
    <t xml:space="preserve">Organizador Maquillaje Blanco </t>
  </si>
  <si>
    <t>Termo Agua Caliente 1,9L</t>
  </si>
  <si>
    <t>318cc-1</t>
  </si>
  <si>
    <t>Frutero 2 pisos</t>
  </si>
  <si>
    <t>Organizador Maquillaje Blanco Espejo MDF</t>
  </si>
  <si>
    <t>Homey</t>
  </si>
  <si>
    <t>Zapatero Metalico 5 pisos 41*19*71cm</t>
  </si>
  <si>
    <t xml:space="preserve">Zapatero Metalico 4 Pisos 41*18,5*50,5cm </t>
  </si>
  <si>
    <t>Cesta Ropa Cuadrada 41*32*53cm</t>
  </si>
  <si>
    <t>Cesta Ropa Cuadrada  Rigida 42*30*56cm</t>
  </si>
  <si>
    <t>Cesta Ropa Infantil Diseños 35x45cm</t>
  </si>
  <si>
    <t xml:space="preserve">Cesta Ropa Redonda Diseños 35x45cm </t>
  </si>
  <si>
    <t>huamao</t>
  </si>
  <si>
    <t>Frutero Metalico Basico Negro 27.5*7cm</t>
  </si>
  <si>
    <t>Porta Cubierto Negro 19*11cm</t>
  </si>
  <si>
    <t>Porta Nova Negro 32*15cm</t>
  </si>
  <si>
    <t>Cosmiva</t>
  </si>
  <si>
    <t>Set Cintillo y Esponjas 9pcs</t>
  </si>
  <si>
    <t>AGE697</t>
  </si>
  <si>
    <t>Set Cintillo y Tiburon 16pcs</t>
  </si>
  <si>
    <t>AGE696</t>
  </si>
  <si>
    <t>Set Tiburon y Esponjas 5pcs</t>
  </si>
  <si>
    <t>Max belleza</t>
  </si>
  <si>
    <t>Serum Vitamina C 50ml</t>
  </si>
  <si>
    <t>MB058117</t>
  </si>
  <si>
    <t>Crema Vitamica C 50g</t>
  </si>
  <si>
    <t>MB058116</t>
  </si>
  <si>
    <t>yimi</t>
  </si>
  <si>
    <t xml:space="preserve">Dispensador aceite 470ml 8*19,8cm </t>
  </si>
  <si>
    <t>Medimake</t>
  </si>
  <si>
    <t xml:space="preserve">Masajeador Electrico Recargable </t>
  </si>
  <si>
    <t>XF-69</t>
  </si>
  <si>
    <t>Masajeador Facial Hielo</t>
  </si>
  <si>
    <t>REGISTRO DETALLADO DE INSUMOS</t>
  </si>
  <si>
    <t>Fecha</t>
  </si>
  <si>
    <t>Item</t>
  </si>
  <si>
    <t>Costo</t>
  </si>
  <si>
    <t>Mes (Auto)</t>
  </si>
  <si>
    <t>Carro compra</t>
  </si>
  <si>
    <t>Bolsa Tela 50und.</t>
  </si>
  <si>
    <t>Estacionamiento</t>
  </si>
  <si>
    <t>Bencina y Tag</t>
  </si>
  <si>
    <t>Papel Film</t>
  </si>
  <si>
    <t>Photoroom</t>
  </si>
  <si>
    <t>Tarjetas impresas</t>
  </si>
  <si>
    <t xml:space="preserve">Mantel Tela </t>
  </si>
  <si>
    <t>Rango costo</t>
  </si>
  <si>
    <t>Factor</t>
  </si>
  <si>
    <t>$0 – $499</t>
  </si>
  <si>
    <t>3.0×</t>
  </si>
  <si>
    <t>$500 – $999</t>
  </si>
  <si>
    <t>2.5×</t>
  </si>
  <si>
    <t>$1.000 – $4.999</t>
  </si>
  <si>
    <t>2.2×</t>
  </si>
  <si>
    <t>$5.000 – $19.999</t>
  </si>
  <si>
    <t>2.0×</t>
  </si>
  <si>
    <t>$20.000+</t>
  </si>
  <si>
    <t>1.8×</t>
  </si>
  <si>
    <t>PROVEEDOR</t>
  </si>
  <si>
    <t>SKU</t>
  </si>
  <si>
    <t>NOMBRE</t>
  </si>
  <si>
    <t>COSTO</t>
  </si>
  <si>
    <t>PRECIO</t>
  </si>
  <si>
    <t>Precio Efectivo (x2)</t>
  </si>
  <si>
    <t>Precio pagina (x2)</t>
  </si>
  <si>
    <t>CANTIDAD</t>
  </si>
  <si>
    <t>Costo total</t>
  </si>
  <si>
    <t>Venta total (FACTORES)</t>
  </si>
  <si>
    <t>VENTA (EFECTIVO)</t>
  </si>
  <si>
    <t>VENTA (PAGINA)</t>
  </si>
  <si>
    <t>Stock actual</t>
  </si>
  <si>
    <t>Belina</t>
  </si>
  <si>
    <t>Bolsa Regalo Dia Mamá</t>
  </si>
  <si>
    <t>Exlin</t>
  </si>
  <si>
    <t>Set de especies 8und bambu</t>
  </si>
  <si>
    <t>Frasco para miel vidrio y bambu</t>
  </si>
  <si>
    <t>Salero y Pimentero Pareja</t>
  </si>
  <si>
    <t>Guatero infantil Patito</t>
  </si>
  <si>
    <t>Guatero Infantil Mounstruito</t>
  </si>
  <si>
    <t>Taza Margarita vidrio</t>
  </si>
  <si>
    <t>Burlete Puerta 95cm</t>
  </si>
  <si>
    <t>Organizador Maquillaje y skincare</t>
  </si>
  <si>
    <t>Taza Flores Doble fondo</t>
  </si>
  <si>
    <t>Posavasos bambu 4und</t>
  </si>
  <si>
    <t>Guatero Conejo 500ml</t>
  </si>
  <si>
    <t xml:space="preserve">Salero y Pimentero Cerditos </t>
  </si>
  <si>
    <t>Cesta Ropa Dinosaurio 40*50cm</t>
  </si>
  <si>
    <t>Cesta Ropa Cuadrada café con tapa 42*30*56cm</t>
  </si>
  <si>
    <t>Salvamantel Metalico 18*18*1,5cm</t>
  </si>
  <si>
    <t>Dispensador Lavalozas 18*12cm</t>
  </si>
  <si>
    <t>tripack paños de cocina</t>
  </si>
  <si>
    <t>Zapatero Negro Plastico Varillas Metalicas 4 pisos 41*18,5*50cm</t>
  </si>
  <si>
    <t>Zapatero Blanco Plastico Varillas Metalicas 4 pisos 47*20*53cm</t>
  </si>
  <si>
    <t>Cesta Ropa Leon 40*50cm</t>
  </si>
  <si>
    <t>Cesta con cierre algodon 41*32*53cm</t>
  </si>
  <si>
    <t>Caja organizadora Te 4 compartimiento15*15*7cm</t>
  </si>
  <si>
    <t>Caja organizadora Te 6 compartimientos 24*17*7cm</t>
  </si>
  <si>
    <t>Destapador de botellas Basquetbol 6,5*15*20cm</t>
  </si>
  <si>
    <t>Colgador para Llaves Casita 20*16,5cm</t>
  </si>
  <si>
    <t>Panera Gris con blanco Tejida 6,5*28cm</t>
  </si>
  <si>
    <t>Porta Toalla Nova Metalico Mariposa</t>
  </si>
  <si>
    <t>Colgante para Llaves con Flor 21,5*11,5cm</t>
  </si>
  <si>
    <t>Frutero Metalico 27*10cm</t>
  </si>
  <si>
    <t>Individual Tejido Grisazulado 38cm</t>
  </si>
  <si>
    <t>Cesta Ropa Diseño Estampado 35*45cm</t>
  </si>
  <si>
    <t>Colgador para Llaves pajaros dorado 20*20cm</t>
  </si>
  <si>
    <t>Posavasos Ceramica 11,5cm</t>
  </si>
  <si>
    <t>Salvamantel Ceramica redondo 16cm</t>
  </si>
  <si>
    <t>Panera Marron ovalada 8x25x31cm</t>
  </si>
  <si>
    <t xml:space="preserve">Paño secaplato </t>
  </si>
  <si>
    <t>Guatero Electrico Conejo Rosado 26x19cm</t>
  </si>
  <si>
    <t>Guatero Electrico Marron Oso 26x19cm</t>
  </si>
  <si>
    <t>Individual Tejido Negro 38cm</t>
  </si>
  <si>
    <t>Camino de mesa blanco gris 35x180cm</t>
  </si>
  <si>
    <t>Individual Plateado PVC 38cm</t>
  </si>
  <si>
    <t>Set tabla picar 3pcs 34x24cm</t>
  </si>
  <si>
    <t>Posavasos Ceramica Gato Rosado 10x10cm</t>
  </si>
  <si>
    <t>Posavasos Ceramica Gato Capuccino 12.5x12.5cm</t>
  </si>
  <si>
    <t>Bolsa lavadora 40x50cm</t>
  </si>
  <si>
    <t>1 regalo</t>
  </si>
  <si>
    <t>IRM</t>
  </si>
  <si>
    <t>XL830L</t>
  </si>
  <si>
    <t>Humidificador electrico USB</t>
  </si>
  <si>
    <t>Dispensador Agua Electrico USB</t>
  </si>
  <si>
    <t>Masajeador Corporal recargable</t>
  </si>
  <si>
    <t xml:space="preserve">Espumador de leche electrico </t>
  </si>
  <si>
    <t xml:space="preserve">Huevera Plastica </t>
  </si>
  <si>
    <t>Caja esencias 12 und 3ml</t>
  </si>
  <si>
    <t>Jumbo</t>
  </si>
  <si>
    <t>Filtro Piscina Bestway v25</t>
  </si>
  <si>
    <t>Piscina Inflable Arcoiris 157*46cm</t>
  </si>
  <si>
    <t>Piscina First Fast Set Inflable</t>
  </si>
  <si>
    <t>Sillon Inflable Arcoiris</t>
  </si>
  <si>
    <t>Max Belleza</t>
  </si>
  <si>
    <t>MB090347</t>
  </si>
  <si>
    <t>Set Pinche mas esponjas</t>
  </si>
  <si>
    <t>Serum vitamina C 50ml</t>
  </si>
  <si>
    <t>MB058189</t>
  </si>
  <si>
    <t>Serum colágeno 50ml</t>
  </si>
  <si>
    <t>Crema vitamina C 50g</t>
  </si>
  <si>
    <t>MB058190</t>
  </si>
  <si>
    <t>Crema colágeno 50g</t>
  </si>
  <si>
    <t>MB090333</t>
  </si>
  <si>
    <t>Set skincare mas esponjas 6pcs</t>
  </si>
  <si>
    <t>Xing Xing</t>
  </si>
  <si>
    <t>Centrifuga para ensaladas</t>
  </si>
  <si>
    <t>Botella vidrio para aceite 350ml</t>
  </si>
  <si>
    <t>Colador Tela 14cm</t>
  </si>
  <si>
    <t>Lechero 1200ml</t>
  </si>
  <si>
    <t>Balanza Cocina</t>
  </si>
  <si>
    <t>Gramera Digital 10kg</t>
  </si>
  <si>
    <t>Tostador Mango Madera</t>
  </si>
  <si>
    <t>Exprimidor Limon Vidrio</t>
  </si>
  <si>
    <t>Azucarero vidrio relieve</t>
  </si>
  <si>
    <t>Sarten de animalitos</t>
  </si>
  <si>
    <t>Zheng Chang</t>
  </si>
  <si>
    <t xml:space="preserve">Tetera Infusora Vidrio </t>
  </si>
  <si>
    <t>Tecno</t>
  </si>
  <si>
    <t>17709-8</t>
  </si>
  <si>
    <t xml:space="preserve">Cargador Inalambrico Magsafe </t>
  </si>
  <si>
    <t xml:space="preserve">Audifonos Airpods Pro 2 </t>
  </si>
  <si>
    <t>CONTROL DE BODEGA - SEMÁFORO DE INGRESO</t>
  </si>
  <si>
    <t>Nombre (Ingreso)</t>
  </si>
  <si>
    <t>Cantidad Disponible</t>
  </si>
  <si>
    <t>REGISTRO DE VENTAS REALIZADAS</t>
  </si>
  <si>
    <t>Producto</t>
  </si>
  <si>
    <t>Cantidad</t>
  </si>
  <si>
    <t>Valor Total</t>
  </si>
  <si>
    <t>Medio de Pago</t>
  </si>
  <si>
    <t>Costo Unit.</t>
  </si>
  <si>
    <t>Ganancia Real</t>
  </si>
  <si>
    <t>Impuesto (19%)</t>
  </si>
  <si>
    <t>Comisión MP (2.6%)</t>
  </si>
  <si>
    <t>Maria</t>
  </si>
  <si>
    <t>Entregado</t>
  </si>
  <si>
    <t>transferencia</t>
  </si>
  <si>
    <t>Cinthya</t>
  </si>
  <si>
    <t>efectivo</t>
  </si>
  <si>
    <t>Ely</t>
  </si>
  <si>
    <t>wendy</t>
  </si>
  <si>
    <t>Armando</t>
  </si>
  <si>
    <t>Priscila</t>
  </si>
  <si>
    <t>Pablo</t>
  </si>
  <si>
    <t xml:space="preserve">cliente </t>
  </si>
  <si>
    <t>pagado</t>
  </si>
  <si>
    <t>mama faby</t>
  </si>
  <si>
    <t>ivan</t>
  </si>
  <si>
    <t>tarjeta</t>
  </si>
  <si>
    <t>Faby</t>
  </si>
  <si>
    <t>Millaray</t>
  </si>
  <si>
    <t>Matias</t>
  </si>
  <si>
    <t>pago pendiente</t>
  </si>
  <si>
    <t>Joel</t>
  </si>
  <si>
    <t>Omar</t>
  </si>
  <si>
    <t>Tio Toño</t>
  </si>
  <si>
    <t>Anais</t>
  </si>
  <si>
    <t>ximena</t>
  </si>
  <si>
    <t>matias</t>
  </si>
  <si>
    <t>Ximena</t>
  </si>
  <si>
    <t>omar</t>
  </si>
  <si>
    <t>Lily</t>
  </si>
  <si>
    <t>Sr. Maria</t>
  </si>
  <si>
    <t>josefa</t>
  </si>
  <si>
    <t>2 humidificadores rosados</t>
  </si>
  <si>
    <t>Ivana</t>
  </si>
  <si>
    <t>Fernando</t>
  </si>
  <si>
    <t>Tamy</t>
  </si>
  <si>
    <t>MAYO</t>
  </si>
  <si>
    <t>1 taza margarita, 2 taza flor, 3 bolsas mamá</t>
  </si>
  <si>
    <t>Wendy</t>
  </si>
  <si>
    <t>1 tetera</t>
  </si>
  <si>
    <t>Mabel</t>
  </si>
  <si>
    <t>Guatero elec, conejo</t>
  </si>
  <si>
    <t>Tabita</t>
  </si>
  <si>
    <r>
      <rPr>
        <rFont val="Arial"/>
        <color theme="1"/>
      </rPr>
      <t>13580+</t>
    </r>
    <r>
      <rPr>
        <rFont val="Arial"/>
        <color rgb="FFFF0000"/>
      </rPr>
      <t>6760</t>
    </r>
  </si>
  <si>
    <t>Tetera y espumador electrico</t>
  </si>
  <si>
    <t>Pendiente</t>
  </si>
  <si>
    <t>paga junto a los individuales (20.340)</t>
  </si>
  <si>
    <t>Josefa</t>
  </si>
  <si>
    <t>Cargador magsafe</t>
  </si>
  <si>
    <t>Pago Pendiente</t>
  </si>
  <si>
    <t>Guatero elec. oso</t>
  </si>
  <si>
    <t>Ivan</t>
  </si>
  <si>
    <t>pack vitamina c, guatero elec. oso, espumador leche, masajeador</t>
  </si>
  <si>
    <t>Hernol</t>
  </si>
  <si>
    <t>audifonos</t>
  </si>
  <si>
    <t>Dafnne</t>
  </si>
  <si>
    <t>1 audifono, 1 cargador, 1 huevera</t>
  </si>
  <si>
    <t>1 huevera</t>
  </si>
  <si>
    <t xml:space="preserve">1 huevera </t>
  </si>
  <si>
    <t>Maty</t>
  </si>
  <si>
    <t>1 audifono</t>
  </si>
  <si>
    <t>Seba</t>
  </si>
  <si>
    <t>1 guatero elec. conejo 1 cesta gris, 1 bolsa lavado</t>
  </si>
  <si>
    <t>2 bolsa lavado 1 camino mesa</t>
  </si>
  <si>
    <t>exprimidor</t>
  </si>
  <si>
    <t>pendiente</t>
  </si>
  <si>
    <t>Mama rosa</t>
  </si>
  <si>
    <t>1 centrifuga 1 lechero 1 mielero 1 colgante pajaro</t>
  </si>
  <si>
    <t>Liliana</t>
  </si>
  <si>
    <t>1 guatero elec. oso</t>
  </si>
  <si>
    <t>8 individuales azules</t>
  </si>
  <si>
    <t>Antonio</t>
  </si>
  <si>
    <t>1 cargador</t>
  </si>
  <si>
    <t>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</si>
</sst>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%"/>
    <numFmt numFmtId="166" formatCode="dd/mm/yyyy"/>
  </numFmts>
  <fonts count="23">
    <font>
      <sz val="11.0"/>
      <color theme="1"/>
      <name val="Aptos Narrow"/>
      <scheme val="minor"/>
    </font>
    <font>
      <b/>
      <sz val="18.0"/>
      <color rgb="FF1F4E78"/>
      <name val="Aptos Narrow"/>
    </font>
    <font>
      <b/>
      <sz val="13.0"/>
      <color theme="1"/>
      <name val="Aptos Narrow"/>
    </font>
    <font>
      <b/>
      <sz val="14.0"/>
      <color rgb="FF008000"/>
      <name val="Aptos Narrow"/>
    </font>
    <font>
      <sz val="11.0"/>
      <color theme="1"/>
      <name val="Aptos Narrow"/>
    </font>
    <font>
      <b/>
      <sz val="12.0"/>
      <color rgb="FFFFFFFF"/>
      <name val="Aptos Narrow"/>
    </font>
    <font>
      <b/>
      <sz val="11.0"/>
      <color theme="1"/>
      <name val="Aptos Narrow"/>
    </font>
    <font>
      <b/>
      <sz val="14.0"/>
      <color rgb="FFC00000"/>
      <name val="Aptos Narrow"/>
    </font>
    <font>
      <b/>
      <sz val="14.0"/>
      <color rgb="FF1F4E78"/>
      <name val="Aptos Narrow"/>
    </font>
    <font>
      <b/>
      <sz val="11.0"/>
      <color rgb="FFC00000"/>
      <name val="Aptos Narrow"/>
    </font>
    <font>
      <b/>
      <sz val="14.0"/>
      <color rgb="FF0000FF"/>
      <name val="Aptos Narrow"/>
    </font>
    <font>
      <b/>
      <sz val="11.0"/>
      <color rgb="FF0000FF"/>
      <name val="Aptos Narrow"/>
    </font>
    <font>
      <color theme="1"/>
      <name val="Aptos Narrow"/>
      <scheme val="minor"/>
    </font>
    <font>
      <sz val="11.0"/>
      <color rgb="FFFF0000"/>
      <name val="Aptos Narrow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rial"/>
    </font>
    <font/>
    <font>
      <b/>
      <color theme="1"/>
      <name val="Arial"/>
    </font>
    <font>
      <color rgb="FFFF0000"/>
      <name val="Arial"/>
    </font>
    <font>
      <b/>
      <color theme="1"/>
      <name val="Aptos Narrow"/>
      <scheme val="minor"/>
    </font>
    <font>
      <sz val="11.0"/>
      <color rgb="FF444746"/>
      <name val="&quot;Google Sans&quot;"/>
    </font>
  </fonts>
  <fills count="1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  <fill>
      <patternFill patternType="solid">
        <fgColor rgb="FF83CCEB"/>
        <bgColor rgb="FF83CCE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thin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0" fontId="4" numFmtId="164" xfId="0" applyBorder="1" applyFont="1" applyNumberFormat="1"/>
    <xf borderId="2" fillId="3" fontId="5" numFmtId="0" xfId="0" applyBorder="1" applyFill="1" applyFont="1"/>
    <xf borderId="1" fillId="0" fontId="6" numFmtId="164" xfId="0" applyBorder="1" applyFont="1" applyNumberFormat="1"/>
    <xf borderId="1" fillId="0" fontId="4" numFmtId="0" xfId="0" applyBorder="1" applyFont="1"/>
    <xf borderId="0" fillId="0" fontId="7" numFmtId="0" xfId="0" applyFont="1"/>
    <xf borderId="0" fillId="0" fontId="8" numFmtId="0" xfId="0" applyFont="1"/>
    <xf borderId="1" fillId="4" fontId="4" numFmtId="0" xfId="0" applyBorder="1" applyFill="1" applyFont="1"/>
    <xf borderId="1" fillId="0" fontId="9" numFmtId="164" xfId="0" applyBorder="1" applyFont="1" applyNumberFormat="1"/>
    <xf borderId="1" fillId="0" fontId="4" numFmtId="3" xfId="0" applyBorder="1" applyFont="1" applyNumberFormat="1"/>
    <xf borderId="0" fillId="0" fontId="10" numFmtId="0" xfId="0" applyFont="1"/>
    <xf borderId="1" fillId="0" fontId="11" numFmtId="164" xfId="0" applyBorder="1" applyFont="1" applyNumberFormat="1"/>
    <xf borderId="1" fillId="0" fontId="4" numFmtId="165" xfId="0" applyBorder="1" applyFont="1" applyNumberFormat="1"/>
    <xf borderId="0" fillId="0" fontId="12" numFmtId="0" xfId="0" applyFont="1"/>
    <xf borderId="0" fillId="0" fontId="4" numFmtId="0" xfId="0" applyAlignment="1" applyFont="1">
      <alignment horizontal="right"/>
    </xf>
    <xf borderId="0" fillId="0" fontId="13" numFmtId="0" xfId="0" applyFont="1"/>
    <xf borderId="1" fillId="3" fontId="5" numFmtId="0" xfId="0" applyAlignment="1" applyBorder="1" applyFont="1">
      <alignment horizontal="center"/>
    </xf>
    <xf borderId="1" fillId="0" fontId="4" numFmtId="14" xfId="0" applyBorder="1" applyFont="1" applyNumberFormat="1"/>
    <xf borderId="1" fillId="0" fontId="12" numFmtId="0" xfId="0" applyBorder="1" applyFont="1"/>
    <xf borderId="1" fillId="0" fontId="14" numFmtId="166" xfId="0" applyAlignment="1" applyBorder="1" applyFont="1" applyNumberFormat="1">
      <alignment readingOrder="0"/>
    </xf>
    <xf borderId="1" fillId="0" fontId="14" numFmtId="0" xfId="0" applyAlignment="1" applyBorder="1" applyFont="1">
      <alignment readingOrder="0"/>
    </xf>
    <xf borderId="1" fillId="0" fontId="14" numFmtId="164" xfId="0" applyAlignment="1" applyBorder="1" applyFont="1" applyNumberFormat="1">
      <alignment readingOrder="0"/>
    </xf>
    <xf borderId="0" fillId="0" fontId="4" numFmtId="0" xfId="0" applyAlignment="1" applyFont="1">
      <alignment horizontal="left"/>
    </xf>
    <xf borderId="2" fillId="5" fontId="4" numFmtId="0" xfId="0" applyBorder="1" applyFill="1" applyFont="1"/>
    <xf borderId="2" fillId="6" fontId="4" numFmtId="0" xfId="0" applyBorder="1" applyFill="1" applyFont="1"/>
    <xf borderId="3" fillId="6" fontId="4" numFmtId="0" xfId="0" applyBorder="1" applyFont="1"/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7" fontId="16" numFmtId="0" xfId="0" applyAlignment="1" applyFill="1" applyFont="1">
      <alignment horizontal="right" readingOrder="0" shrinkToFit="0" vertical="bottom" wrapText="0"/>
    </xf>
    <xf borderId="2" fillId="6" fontId="17" numFmtId="0" xfId="0" applyAlignment="1" applyBorder="1" applyFont="1">
      <alignment readingOrder="0"/>
    </xf>
    <xf borderId="1" fillId="0" fontId="12" numFmtId="0" xfId="0" applyBorder="1" applyFont="1"/>
    <xf borderId="0" fillId="0" fontId="16" numFmtId="0" xfId="0" applyAlignment="1" applyFont="1">
      <alignment readingOrder="0" shrinkToFit="0" vertical="bottom" wrapText="0"/>
    </xf>
    <xf borderId="0" fillId="7" fontId="15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4" fillId="0" fontId="14" numFmtId="0" xfId="0" applyAlignment="1" applyBorder="1" applyFont="1">
      <alignment readingOrder="0"/>
    </xf>
    <xf borderId="5" fillId="0" fontId="14" numFmtId="0" xfId="0" applyAlignment="1" applyBorder="1" applyFont="1">
      <alignment readingOrder="0"/>
    </xf>
    <xf borderId="6" fillId="0" fontId="17" numFmtId="0" xfId="0" applyAlignment="1" applyBorder="1" applyFont="1">
      <alignment horizontal="left" readingOrder="0"/>
    </xf>
    <xf borderId="6" fillId="0" fontId="14" numFmtId="0" xfId="0" applyAlignment="1" applyBorder="1" applyFont="1">
      <alignment readingOrder="0"/>
    </xf>
    <xf borderId="7" fillId="0" fontId="14" numFmtId="0" xfId="0" applyAlignment="1" applyBorder="1" applyFont="1">
      <alignment readingOrder="0"/>
    </xf>
    <xf borderId="7" fillId="0" fontId="12" numFmtId="0" xfId="0" applyBorder="1" applyFont="1"/>
    <xf borderId="8" fillId="6" fontId="4" numFmtId="0" xfId="0" applyBorder="1" applyFont="1"/>
    <xf borderId="8" fillId="5" fontId="4" numFmtId="0" xfId="0" applyBorder="1" applyFont="1"/>
    <xf borderId="9" fillId="6" fontId="4" numFmtId="0" xfId="0" applyBorder="1" applyFont="1"/>
    <xf borderId="0" fillId="0" fontId="17" numFmtId="1" xfId="0" applyAlignment="1" applyFont="1" applyNumberFormat="1">
      <alignment horizontal="left" readingOrder="0"/>
    </xf>
    <xf borderId="5" fillId="0" fontId="4" numFmtId="0" xfId="0" applyBorder="1" applyFont="1"/>
    <xf borderId="4" fillId="0" fontId="15" numFmtId="0" xfId="0" applyAlignment="1" applyBorder="1" applyFont="1">
      <alignment horizontal="left" readingOrder="0" shrinkToFit="0" vertical="bottom" wrapText="0"/>
    </xf>
    <xf borderId="4" fillId="0" fontId="15" numFmtId="0" xfId="0" applyAlignment="1" applyBorder="1" applyFont="1">
      <alignment readingOrder="0" shrinkToFit="0" vertical="bottom" wrapText="0"/>
    </xf>
    <xf borderId="10" fillId="0" fontId="12" numFmtId="0" xfId="0" applyBorder="1" applyFont="1"/>
    <xf borderId="11" fillId="5" fontId="4" numFmtId="0" xfId="0" applyBorder="1" applyFont="1"/>
    <xf borderId="12" fillId="6" fontId="4" numFmtId="0" xfId="0" applyBorder="1" applyFont="1"/>
    <xf borderId="0" fillId="0" fontId="4" numFmtId="0" xfId="0" applyFont="1"/>
    <xf borderId="0" fillId="0" fontId="12" numFmtId="0" xfId="0" applyFont="1"/>
    <xf borderId="10" fillId="0" fontId="4" numFmtId="0" xfId="0" applyBorder="1" applyFont="1"/>
    <xf borderId="0" fillId="0" fontId="16" numFmtId="0" xfId="0" applyAlignment="1" applyFont="1">
      <alignment readingOrder="0" vertical="bottom"/>
    </xf>
    <xf borderId="13" fillId="0" fontId="1" numFmtId="0" xfId="0" applyBorder="1" applyFont="1"/>
    <xf borderId="14" fillId="0" fontId="18" numFmtId="0" xfId="0" applyBorder="1" applyFont="1"/>
    <xf borderId="15" fillId="0" fontId="18" numFmtId="0" xfId="0" applyBorder="1" applyFont="1"/>
    <xf borderId="1" fillId="8" fontId="4" numFmtId="0" xfId="0" applyAlignment="1" applyBorder="1" applyFill="1" applyFont="1">
      <alignment horizontal="left"/>
    </xf>
    <xf borderId="1" fillId="8" fontId="4" numFmtId="0" xfId="0" applyBorder="1" applyFont="1"/>
    <xf borderId="1" fillId="8" fontId="4" numFmtId="3" xfId="0" applyBorder="1" applyFont="1" applyNumberFormat="1"/>
    <xf borderId="1" fillId="8" fontId="4" numFmtId="164" xfId="0" applyBorder="1" applyFont="1" applyNumberFormat="1"/>
    <xf borderId="0" fillId="8" fontId="12" numFmtId="0" xfId="0" applyFont="1"/>
    <xf borderId="1" fillId="8" fontId="4" numFmtId="0" xfId="0" applyAlignment="1" applyBorder="1" applyFont="1">
      <alignment horizontal="left" readingOrder="0"/>
    </xf>
    <xf borderId="1" fillId="8" fontId="17" numFmtId="3" xfId="0" applyAlignment="1" applyBorder="1" applyFont="1" applyNumberFormat="1">
      <alignment readingOrder="0"/>
    </xf>
    <xf borderId="1" fillId="8" fontId="17" numFmtId="0" xfId="0" applyAlignment="1" applyBorder="1" applyFont="1">
      <alignment readingOrder="0"/>
    </xf>
    <xf borderId="1" fillId="8" fontId="17" numFmtId="0" xfId="0" applyAlignment="1" applyBorder="1" applyFont="1">
      <alignment horizontal="left" readingOrder="0"/>
    </xf>
    <xf borderId="1" fillId="8" fontId="15" numFmtId="0" xfId="0" applyAlignment="1" applyBorder="1" applyFont="1">
      <alignment horizontal="left" readingOrder="0" shrinkToFit="0" vertical="bottom" wrapText="0"/>
    </xf>
    <xf borderId="1" fillId="8" fontId="16" numFmtId="0" xfId="0" applyAlignment="1" applyBorder="1" applyFont="1">
      <alignment horizontal="left" readingOrder="0" shrinkToFit="0" vertical="bottom" wrapText="0"/>
    </xf>
    <xf borderId="1" fillId="0" fontId="17" numFmtId="3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/>
    </xf>
    <xf borderId="1" fillId="0" fontId="17" numFmtId="0" xfId="0" applyAlignment="1" applyBorder="1" applyFont="1">
      <alignment horizontal="left" readingOrder="0"/>
    </xf>
    <xf borderId="1" fillId="0" fontId="17" numFmtId="1" xfId="0" applyAlignment="1" applyBorder="1" applyFont="1" applyNumberFormat="1">
      <alignment horizontal="left" readingOrder="0"/>
    </xf>
    <xf borderId="1" fillId="9" fontId="15" numFmtId="0" xfId="0" applyAlignment="1" applyBorder="1" applyFill="1" applyFont="1">
      <alignment horizontal="left" readingOrder="0" shrinkToFit="0" vertical="bottom" wrapText="0"/>
    </xf>
    <xf borderId="1" fillId="9" fontId="4" numFmtId="0" xfId="0" applyBorder="1" applyFont="1"/>
    <xf borderId="1" fillId="9" fontId="17" numFmtId="3" xfId="0" applyAlignment="1" applyBorder="1" applyFont="1" applyNumberFormat="1">
      <alignment readingOrder="0"/>
    </xf>
    <xf borderId="1" fillId="9" fontId="4" numFmtId="164" xfId="0" applyBorder="1" applyFont="1" applyNumberFormat="1"/>
    <xf borderId="0" fillId="9" fontId="12" numFmtId="0" xfId="0" applyFont="1"/>
    <xf borderId="0" fillId="0" fontId="14" numFmtId="164" xfId="0" applyAlignment="1" applyFont="1" applyNumberFormat="1">
      <alignment readingOrder="0"/>
    </xf>
    <xf borderId="0" fillId="10" fontId="19" numFmtId="0" xfId="0" applyAlignment="1" applyFill="1" applyFont="1">
      <alignment readingOrder="0"/>
    </xf>
    <xf borderId="0" fillId="11" fontId="14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1" fillId="0" fontId="21" numFmtId="0" xfId="0" applyBorder="1" applyFont="1"/>
    <xf borderId="0" fillId="12" fontId="14" numFmtId="0" xfId="0" applyAlignment="1" applyFill="1" applyFont="1">
      <alignment readingOrder="0"/>
    </xf>
    <xf borderId="0" fillId="12" fontId="12" numFmtId="0" xfId="0" applyFont="1"/>
    <xf borderId="0" fillId="12" fontId="19" numFmtId="0" xfId="0" applyAlignment="1" applyFont="1">
      <alignment readingOrder="0"/>
    </xf>
    <xf borderId="0" fillId="13" fontId="22" numFmtId="0" xfId="0" applyAlignment="1" applyFill="1" applyFont="1">
      <alignment horizontal="left" readingOrder="0" shrinkToFit="0" wrapText="1"/>
    </xf>
    <xf borderId="0" fillId="11" fontId="19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11" fontId="12" numFmtId="0" xfId="0" applyFont="1"/>
    <xf borderId="0" fillId="0" fontId="21" numFmtId="0" xfId="0" applyFont="1"/>
  </cellXfs>
  <cellStyles count="1">
    <cellStyle xfId="0" name="Normal" builtinId="0"/>
  </cellStyles>
  <dxfs count="2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an vasquez" id="{ff67ef44-03a6-4380-b9ac-d62e422f44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8T02:36:45.00" personId="{ff67ef44-03a6-4380-b9ac-d62e422f4480}" id="{9d43d3ea-bff0-4222-8532-f0c1bd04a919}" done="0">
    <x18tc:text xml:space="preserve">pack vitamina c</x18tc:text>
  </x18tc:threadedComment>
  <x18tc:threadedComment ref="A1" dT="2026-04-28T02:36:05.00" personId="{ff67ef44-03a6-4380-b9ac-d62e422f4480}" id="{75e0482a-5f8c-4e0a-8126-fe47d93d23ec}" done="0">
    <x18tc:text xml:space="preserve">Guatero monstruo</x18tc:text>
  </x18tc:threadedComment>
  <x18tc:threadedComment ref="A1" dT="2026-04-28T02:26:27.00" personId="{ff67ef44-03a6-4380-b9ac-d62e422f4480}" id="{9c2bed86-b3e9-4a10-a9c7-89c915139f7b}" done="0">
    <x18tc:text xml:space="preserve">Frasco miel</x18tc:text>
  </x18tc:threadedComment>
  <x18tc:threadedComment ref="A1" dT="2026-04-28T02:28:25.00" personId="{ff67ef44-03a6-4380-b9ac-d62e422f4480}" id="{9d3baedb-881c-4887-a3f4-b7a0fdd09ffe}" done="0">
    <x18tc:text xml:space="preserve">Guatero mounstruo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" dT="2026-05-07T00:22:58.00" personId="{ff67ef44-03a6-4380-b9ac-d62e422f4480}" id="{94f9f7af-a5e5-48a8-ba13-470c24d006fb}" done="0">
    <x18tc:text xml:space="preserve">1 masajeador, 1 cerdito, 1 humidificador, 1 esencia</x18tc:text>
  </x18tc:threadedComment>
  <x18tc:threadedComment ref="C15" dT="2026-05-03T23:32:33.00" personId="{ff67ef44-03a6-4380-b9ac-d62e422f4480}" id="{2e8d8cba-205d-4122-9990-4d06dd1169fe}" done="0">
    <x18tc:text xml:space="preserve">1 cesta cierre algodon, 1 cesta dinosaurio, 1 salvamantel, 1 taza margarita</x18tc:text>
  </x18tc:threadedComment>
  <x18tc:threadedComment ref="C13" dT="2026-05-03T23:28:02.00" personId="{ff67ef44-03a6-4380-b9ac-d62e422f4480}" id="{e6a71358-ec49-4ea8-af12-248eea4ad1dc}" done="0">
    <x18tc:text xml:space="preserve">1 Set paño, 1 porta nova</x18tc:text>
  </x18tc:threadedComment>
  <x18tc:threadedComment ref="C21" dT="2026-05-08T01:29:08.00" personId="{ff67ef44-03a6-4380-b9ac-d62e422f4480}" id="{f28240d3-a635-49f4-88de-83f2e5a6fb25}" done="0">
    <x18tc:text xml:space="preserve">1 taza margarita</x18tc:text>
  </x18tc:threadedComment>
  <x18tc:threadedComment ref="C4" dT="2026-04-28T02:59:09.00" personId="{ff67ef44-03a6-4380-b9ac-d62e422f4480}" id="{858804f6-f98c-49f2-8207-56007e6cc652}" done="0">
    <x18tc:text xml:space="preserve">1 exprimidor, 1 lavaloza</x18tc:text>
  </x18tc:threadedComment>
  <x18tc:threadedComment ref="C18" dT="2026-05-03T23:37:00.00" personId="{ff67ef44-03a6-4380-b9ac-d62e422f4480}" id="{65cd986e-1dc4-4544-87ec-1112d9287ec7}" done="0">
    <x18tc:text xml:space="preserve">1 panera, 1 guatero, 1 set paño, 1 lechero, 1 humidificador, 1 centrifuga</x18tc:text>
  </x18tc:threadedComment>
  <x18tc:threadedComment ref="C12" dT="2026-05-02T02:26:19.00" personId="{ff67ef44-03a6-4380-b9ac-d62e422f4480}" id="{ff3bebc0-85b0-439e-93ff-53d2020d50c2}" done="0">
    <x18tc:text xml:space="preserve">Humidificador</x18tc:text>
  </x18tc:threadedComment>
  <x18tc:threadedComment ref="C9" dT="2026-04-28T03:03:54.00" personId="{ff67ef44-03a6-4380-b9ac-d62e422f4480}" id="{e3391521-f12b-4fed-aab7-24c7f63c299d}" done="0">
    <x18tc:text xml:space="preserve">dispensador lavaloza</x18tc:text>
  </x18tc:threadedComment>
  <x18tc:threadedComment ref="C17" dT="2026-05-03T23:35:33.00" personId="{ff67ef44-03a6-4380-b9ac-d62e422f4480}" id="{50d3af15-e57d-48e1-b39a-439aebf10618}" done="0">
    <x18tc:text xml:space="preserve">1 Zapatero negro, 1 frutero, 1 Set Paño, 1 Dispensador lavaloza, 1 Burlete, 1 guatero, 1 set pinche</x18tc:text>
  </x18tc:threadedComment>
  <x18tc:threadedComment ref="C10" dT="2026-05-02T01:53:50.00" personId="{ff67ef44-03a6-4380-b9ac-d62e422f4480}" id="{ab5ad63b-c87f-4988-b102-a2b0d9c7cafd}" done="0">
    <x18tc:text xml:space="preserve">6 individuales, 1 panera, 1 salvamantel, 1 portanova</x18tc:text>
  </x18tc:threadedComment>
  <x18tc:threadedComment ref="C3" dT="2026-04-28T02:57:44.00" personId="{ff67ef44-03a6-4380-b9ac-d62e422f4480}" id="{e12c8944-3f2d-495b-bca4-6c09c7c8353c}" done="0">
    <x18tc:text xml:space="preserve">1 salero y p, 1 guatero pato</x18tc:text>
  </x18tc:threadedComment>
  <x18tc:threadedComment ref="C8" dT="2026-04-28T02:42:02.00" personId="{ff67ef44-03a6-4380-b9ac-d62e422f4480}" id="{9299f66c-43a5-456c-a842-cc307a89de68}" done="0">
    <x18tc:text xml:space="preserve">2 cesta cafe, 2 guatero pato, 1 lavaloza</x18tc:text>
  </x18tc:threadedComment>
  <x18tc:threadedComment ref="C16" dT="2026-05-03T23:33:42.00" personId="{ff67ef44-03a6-4380-b9ac-d62e422f4480}" id="{21b1b22d-dedf-412f-808c-edeb8767a35b}" done="0">
    <x18tc:text xml:space="preserve">1 lechero, 1 tostador, 1 taza margarita, 1 condimentero bambu</x18tc:text>
  </x18tc:threadedComment>
  <x18tc:threadedComment ref="C14" dT="2026-05-03T23:30:44.00" personId="{ff67ef44-03a6-4380-b9ac-d62e422f4480}" id="{8c92dabb-20d9-4d15-bf81-06449a7b0de1}" done="0">
    <x18tc:text xml:space="preserve">1 mielero, 1 cesta cafe tapa</x18tc:text>
  </x18tc:threadedComment>
  <x18tc:threadedComment ref="C11" dT="2026-05-02T02:26:04.00" personId="{ff67ef44-03a6-4380-b9ac-d62e422f4480}" id="{c701a322-c220-48c3-b479-100f73cc950e}" done="0">
    <x18tc:text xml:space="preserve">1 burlete, 1 guatero</x18tc:text>
  </x18tc:threadedComment>
  <x18tc:threadedComment ref="C2" dT="2026-04-28T02:56:54.00" personId="{ff67ef44-03a6-4380-b9ac-d62e422f4480}" id="{b309ea6a-bc1b-4cb8-ac3e-9d4ba80080f8}" done="0">
    <x18tc:text xml:space="preserve">1 colgante pajaros, 1 frasco miel</x18tc:text>
  </x18tc:threadedComment>
  <x18tc:threadedComment ref="C22" dT="2026-05-06T22:54:51.00" personId="{ff67ef44-03a6-4380-b9ac-d62e422f4480}" id="{84ed68b7-5e3f-41d3-9c25-09f1ccad032a}" done="0">
    <x18tc:text xml:space="preserve">8 individuales (gris azul)</x18tc:text>
  </x18tc:threadedComment>
  <x18tc:threadedComment ref="C19" dT="2026-05-03T23:39:08.00" personId="{ff67ef44-03a6-4380-b9ac-d62e422f4480}" id="{f467a83a-7789-4d81-94bc-7ff8eee3e911}" done="0">
    <x18tc:text xml:space="preserve">1 exprimidor, 1 salero pim, 1 caja te chica, 1 Salvamantel, 1 cesta ropa estampada</x18tc:text>
  </x18tc:threadedComment>
  <x18tc:threadedComment ref="C25" dT="2026-05-08T01:15:43.00" personId="{ff67ef44-03a6-4380-b9ac-d62e422f4480}" id="{47553b4d-4fcc-41ab-a8eb-83ac9d81c591}" done="0">
    <x18tc:text xml:space="preserve">4 individuales azules</x18tc:text>
  </x18tc:threadedComment>
  <x18tc:threadedComment ref="C7" dT="2026-04-28T03:01:24.00" personId="{ff67ef44-03a6-4380-b9ac-d62e422f4480}" id="{beb85895-d71e-4ff4-876e-563bd4ba77a4}" done="0">
    <x18tc:text xml:space="preserve">cesta ropa cafe</x18tc:text>
  </x18tc:threadedComment>
  <x18tc:threadedComment ref="C5" dT="2026-04-28T02:59:55.00" personId="{ff67ef44-03a6-4380-b9ac-d62e422f4480}" id="{8aa03027-44a0-499d-8539-dca26bcc68ed}" done="0">
    <x18tc:text xml:space="preserve">1 condimentero, 1 centrifuga</x18tc:text>
  </x18tc:threadedComment>
  <x18tc:threadedComment ref="C1" dT="2026-04-23T01:25:38.00" personId="{ff67ef44-03a6-4380-b9ac-d62e422f4480}" id="{54edff95-11c2-453a-96f5-6e016bb354ce}" done="0">
    <x18tc:text xml:space="preserve">Tostador Mango Madera
Posaollas Metalico 18*18*1,5cm
Exprimidor Limon Vidrio
Abre Botellas Diseño Basquetbol 6,5*15*20cm
Especiero Bambu 8pcs
Envase Miel Vidrio</x18tc:text>
  </x18tc:threadedComment>
  <x18tc:threadedComment ref="C6" dT="2026-04-23T01:39:01.00" personId="{ff67ef44-03a6-4380-b9ac-d62e422f4480}" id="{07aad79c-ad2d-45b8-843c-78adac3ca560}" done="0">
    <x18tc:text xml:space="preserve">centrifuga</x18tc:text>
  </x18tc:threadedComment>
  <x18tc:threadedComment ref="C20" dT="2026-05-03T23:39:43.00" personId="{ff67ef44-03a6-4380-b9ac-d62e422f4480}" id="{41ef4484-e266-4623-8431-e880790b752e}" done="0">
    <x18tc:text xml:space="preserve">1 mielero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4.5"/>
    <col customWidth="1" min="3" max="3" width="9.88"/>
    <col customWidth="1" min="4" max="4" width="8.75"/>
    <col customWidth="1" min="5" max="5" width="28.88"/>
    <col customWidth="1" min="6" max="6" width="16.13"/>
    <col customWidth="1" min="7" max="7" width="8.75"/>
    <col customWidth="1" min="8" max="8" width="25.0"/>
    <col customWidth="1" min="9" max="9" width="20.0"/>
    <col customWidth="1" min="10" max="26" width="8.75"/>
  </cols>
  <sheetData>
    <row r="1" ht="14.25" customHeight="1"/>
    <row r="2" ht="23.25" customHeight="1">
      <c r="B2" s="1" t="s">
        <v>0</v>
      </c>
    </row>
    <row r="3" ht="14.25" customHeight="1"/>
    <row r="4" ht="16.5" customHeight="1">
      <c r="B4" s="2" t="s">
        <v>1</v>
      </c>
      <c r="E4" s="2" t="s">
        <v>2</v>
      </c>
      <c r="H4" s="3" t="s">
        <v>3</v>
      </c>
    </row>
    <row r="5" ht="15.75" customHeight="1">
      <c r="B5" s="4" t="s">
        <v>4</v>
      </c>
      <c r="C5" s="5">
        <f>SUM(Ingreso!K:K)</f>
        <v>2198610</v>
      </c>
      <c r="E5" s="6" t="s">
        <v>5</v>
      </c>
      <c r="F5" s="6" t="s">
        <v>6</v>
      </c>
      <c r="H5" s="4" t="s">
        <v>7</v>
      </c>
      <c r="I5" s="7">
        <f>SUM(ventas!D:D)</f>
        <v>826400</v>
      </c>
    </row>
    <row r="6" ht="14.25" customHeight="1">
      <c r="B6" s="4" t="s">
        <v>8</v>
      </c>
      <c r="C6" s="5">
        <f>SUM(Ingreso!L:L)</f>
        <v>2049510</v>
      </c>
      <c r="E6" s="8" t="s">
        <v>9</v>
      </c>
      <c r="F6" s="5">
        <f>SUMIF(insumos!D:D, E6, insumos!C:C)</f>
        <v>113379</v>
      </c>
      <c r="H6" s="4" t="s">
        <v>10</v>
      </c>
      <c r="I6" s="7">
        <f>SUM(ventas!G:G)</f>
        <v>245269.74</v>
      </c>
    </row>
    <row r="7" ht="14.25" customHeight="1">
      <c r="E7" s="8" t="s">
        <v>11</v>
      </c>
      <c r="F7" s="5">
        <f>SUMIF(insumos!D:D, E7, insumos!C:C)</f>
        <v>29550</v>
      </c>
    </row>
    <row r="8" ht="16.5" customHeight="1">
      <c r="B8" s="2" t="s">
        <v>12</v>
      </c>
      <c r="E8" s="8" t="s">
        <v>13</v>
      </c>
      <c r="F8" s="5">
        <f>SUMIF(insumos!D:D, E8, insumos!C:C)</f>
        <v>0</v>
      </c>
      <c r="H8" s="2" t="s">
        <v>14</v>
      </c>
    </row>
    <row r="9" ht="14.25" customHeight="1">
      <c r="B9" s="4" t="s">
        <v>15</v>
      </c>
      <c r="C9" s="5">
        <f>SUM(Ingreso!I:I)</f>
        <v>981610</v>
      </c>
      <c r="E9" s="8" t="s">
        <v>16</v>
      </c>
      <c r="F9" s="5">
        <f>SUMIF(insumos!D:D, E9, insumos!C:C)</f>
        <v>0</v>
      </c>
      <c r="H9" s="4" t="s">
        <v>17</v>
      </c>
      <c r="I9" s="5">
        <f>SUMIF(ventas!E:E, H9, ventas!D:D)</f>
        <v>36860</v>
      </c>
    </row>
    <row r="10" ht="14.25" customHeight="1">
      <c r="B10" s="4" t="s">
        <v>18</v>
      </c>
      <c r="C10" s="5">
        <f>SUM(insumos!C:C)</f>
        <v>142929</v>
      </c>
      <c r="H10" s="4" t="s">
        <v>19</v>
      </c>
      <c r="I10" s="5">
        <f>SUMIF(ventas!E:E, H10, ventas!D:D)</f>
        <v>128910</v>
      </c>
    </row>
    <row r="11" ht="14.25" customHeight="1">
      <c r="B11" s="4" t="s">
        <v>20</v>
      </c>
      <c r="C11" s="7">
        <f>C9 + C10</f>
        <v>1124539</v>
      </c>
      <c r="H11" s="4" t="s">
        <v>21</v>
      </c>
      <c r="I11" s="5">
        <f>SUMIF(ventas!E:E, H11, ventas!D:D)</f>
        <v>82450</v>
      </c>
    </row>
    <row r="12" ht="14.25" customHeight="1"/>
    <row r="13" ht="18.0" customHeight="1">
      <c r="H13" s="9" t="s">
        <v>22</v>
      </c>
    </row>
    <row r="14" ht="18.0" customHeight="1">
      <c r="B14" s="10" t="s">
        <v>23</v>
      </c>
      <c r="H14" s="11" t="s">
        <v>24</v>
      </c>
      <c r="I14" s="12">
        <f>SUM(ventas!H:H)</f>
        <v>58318.6</v>
      </c>
    </row>
    <row r="15" ht="14.25" customHeight="1">
      <c r="B15" s="4" t="s">
        <v>25</v>
      </c>
      <c r="C15" s="13">
        <f>SUM(ventas!C:C)</f>
        <v>143</v>
      </c>
    </row>
    <row r="16" ht="18.0" customHeight="1">
      <c r="B16" s="4" t="s">
        <v>26</v>
      </c>
      <c r="C16" s="13">
        <f>SUM(Ingreso!H:H)</f>
        <v>552</v>
      </c>
      <c r="H16" s="14" t="s">
        <v>27</v>
      </c>
    </row>
    <row r="17" ht="14.25" customHeight="1">
      <c r="B17" s="4" t="s">
        <v>28</v>
      </c>
      <c r="C17" s="13">
        <f>C15+C16</f>
        <v>695</v>
      </c>
      <c r="H17" s="4" t="s">
        <v>29</v>
      </c>
      <c r="I17" s="15">
        <f>SUM(ventas!I:I)</f>
        <v>3351.66</v>
      </c>
    </row>
    <row r="18" ht="14.25" customHeight="1">
      <c r="B18" s="4" t="s">
        <v>30</v>
      </c>
      <c r="C18" s="16">
        <f>IF(C17&gt;0, C15/C17, 0)</f>
        <v>0.2057553957</v>
      </c>
    </row>
    <row r="19" ht="14.25" customHeight="1">
      <c r="B19" s="4" t="s">
        <v>31</v>
      </c>
      <c r="C19" s="16">
        <f>IF(C17&gt;0, C16/C17, 0)</f>
        <v>0.7942446043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:G2"/>
    <mergeCell ref="H4:I4"/>
    <mergeCell ref="H8:I8"/>
    <mergeCell ref="H13:I13"/>
    <mergeCell ref="B14:C14"/>
    <mergeCell ref="H16:I16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88"/>
    <col customWidth="1" min="3" max="3" width="21.63"/>
    <col customWidth="1" min="4" max="26" width="10.63"/>
  </cols>
  <sheetData>
    <row r="1" ht="14.25" customHeight="1">
      <c r="B1" s="17" t="s">
        <v>32</v>
      </c>
      <c r="C1" s="18" t="s">
        <v>33</v>
      </c>
      <c r="D1" s="17" t="s">
        <v>34</v>
      </c>
      <c r="E1" s="17" t="s">
        <v>35</v>
      </c>
    </row>
    <row r="2" ht="14.25" customHeight="1">
      <c r="A2" s="17" t="s">
        <v>36</v>
      </c>
      <c r="B2" s="17" t="s">
        <v>37</v>
      </c>
      <c r="C2" s="18"/>
      <c r="D2" s="17">
        <v>6100.0</v>
      </c>
      <c r="E2" s="17">
        <v>12.0</v>
      </c>
      <c r="F2" s="17">
        <f t="shared" ref="F2:F29" si="1">D2*E2</f>
        <v>73200</v>
      </c>
    </row>
    <row r="3" ht="14.25" customHeight="1">
      <c r="A3" s="17" t="s">
        <v>38</v>
      </c>
      <c r="B3" s="17" t="s">
        <v>39</v>
      </c>
      <c r="C3" s="18">
        <v>24786.0</v>
      </c>
      <c r="D3" s="17">
        <v>1800.0</v>
      </c>
      <c r="E3" s="17">
        <v>12.0</v>
      </c>
      <c r="F3" s="17">
        <f t="shared" si="1"/>
        <v>21600</v>
      </c>
    </row>
    <row r="4" ht="14.25" customHeight="1">
      <c r="B4" s="17" t="s">
        <v>40</v>
      </c>
      <c r="C4" s="18">
        <v>23758.0</v>
      </c>
      <c r="D4" s="17">
        <v>3000.0</v>
      </c>
      <c r="E4" s="17">
        <v>3.0</v>
      </c>
      <c r="F4" s="17">
        <f t="shared" si="1"/>
        <v>9000</v>
      </c>
    </row>
    <row r="5" ht="14.25" customHeight="1">
      <c r="B5" s="17" t="s">
        <v>41</v>
      </c>
      <c r="C5" s="18">
        <v>24527.0</v>
      </c>
      <c r="D5" s="17">
        <v>12000.0</v>
      </c>
      <c r="E5" s="17">
        <v>3.0</v>
      </c>
      <c r="F5" s="17">
        <f t="shared" si="1"/>
        <v>36000</v>
      </c>
    </row>
    <row r="6" ht="14.25" customHeight="1">
      <c r="B6" s="17" t="s">
        <v>42</v>
      </c>
      <c r="C6" s="18">
        <v>25278.0</v>
      </c>
      <c r="D6" s="17">
        <v>10000.0</v>
      </c>
      <c r="E6" s="17">
        <v>3.0</v>
      </c>
      <c r="F6" s="17">
        <f t="shared" si="1"/>
        <v>30000</v>
      </c>
    </row>
    <row r="7" ht="14.25" customHeight="1">
      <c r="B7" s="17" t="s">
        <v>43</v>
      </c>
      <c r="C7" s="18">
        <v>24765.0</v>
      </c>
      <c r="D7" s="17">
        <v>2500.0</v>
      </c>
      <c r="E7" s="17">
        <v>6.0</v>
      </c>
      <c r="F7" s="17">
        <f t="shared" si="1"/>
        <v>15000</v>
      </c>
    </row>
    <row r="8" ht="14.25" customHeight="1">
      <c r="B8" s="17" t="s">
        <v>44</v>
      </c>
      <c r="C8" s="18">
        <v>26332.0</v>
      </c>
      <c r="D8" s="17">
        <v>4000.0</v>
      </c>
      <c r="E8" s="17">
        <v>8.0</v>
      </c>
      <c r="F8" s="17">
        <f t="shared" si="1"/>
        <v>32000</v>
      </c>
    </row>
    <row r="9" ht="14.25" customHeight="1">
      <c r="B9" s="17" t="s">
        <v>45</v>
      </c>
      <c r="C9" s="18">
        <v>2724.0</v>
      </c>
      <c r="D9" s="17">
        <v>2000.0</v>
      </c>
      <c r="E9" s="17">
        <v>10.0</v>
      </c>
      <c r="F9" s="17">
        <f t="shared" si="1"/>
        <v>20000</v>
      </c>
    </row>
    <row r="10" ht="14.25" customHeight="1">
      <c r="B10" s="17" t="s">
        <v>46</v>
      </c>
      <c r="C10" s="18" t="s">
        <v>47</v>
      </c>
      <c r="D10" s="19">
        <v>6500.0</v>
      </c>
      <c r="F10" s="17">
        <f t="shared" si="1"/>
        <v>0</v>
      </c>
    </row>
    <row r="11" ht="14.25" customHeight="1">
      <c r="B11" s="17" t="s">
        <v>48</v>
      </c>
      <c r="C11" s="18">
        <v>24581.0</v>
      </c>
      <c r="D11" s="17">
        <v>4000.0</v>
      </c>
      <c r="E11" s="17">
        <v>6.0</v>
      </c>
      <c r="F11" s="17">
        <f t="shared" si="1"/>
        <v>24000</v>
      </c>
    </row>
    <row r="12" ht="14.25" customHeight="1">
      <c r="B12" s="17" t="s">
        <v>49</v>
      </c>
      <c r="C12" s="18">
        <v>24815.0</v>
      </c>
      <c r="D12" s="17">
        <v>2500.0</v>
      </c>
      <c r="E12" s="17">
        <v>6.0</v>
      </c>
      <c r="F12" s="17">
        <f t="shared" si="1"/>
        <v>15000</v>
      </c>
    </row>
    <row r="13" ht="14.25" customHeight="1">
      <c r="A13" s="17" t="s">
        <v>50</v>
      </c>
      <c r="B13" s="17" t="s">
        <v>51</v>
      </c>
      <c r="C13" s="18">
        <v>21454.0</v>
      </c>
      <c r="D13" s="17">
        <v>2650.0</v>
      </c>
      <c r="E13" s="17">
        <v>10.0</v>
      </c>
      <c r="F13" s="17">
        <f t="shared" si="1"/>
        <v>26500</v>
      </c>
    </row>
    <row r="14" ht="14.25" customHeight="1">
      <c r="B14" s="17" t="s">
        <v>52</v>
      </c>
      <c r="C14" s="18">
        <v>21455.0</v>
      </c>
      <c r="D14" s="17">
        <v>1750.0</v>
      </c>
      <c r="E14" s="17">
        <v>10.0</v>
      </c>
      <c r="F14" s="17">
        <f t="shared" si="1"/>
        <v>17500</v>
      </c>
    </row>
    <row r="15" ht="14.25" customHeight="1">
      <c r="B15" s="17" t="s">
        <v>53</v>
      </c>
      <c r="C15" s="18">
        <v>51248.0</v>
      </c>
      <c r="D15" s="17">
        <v>3000.0</v>
      </c>
      <c r="E15" s="17">
        <v>6.0</v>
      </c>
      <c r="F15" s="17">
        <f t="shared" si="1"/>
        <v>18000</v>
      </c>
    </row>
    <row r="16" ht="14.25" customHeight="1">
      <c r="B16" s="17" t="s">
        <v>54</v>
      </c>
      <c r="C16" s="18">
        <v>23565.0</v>
      </c>
      <c r="D16" s="17">
        <v>7000.0</v>
      </c>
      <c r="E16" s="17">
        <v>6.0</v>
      </c>
      <c r="F16" s="17">
        <f t="shared" si="1"/>
        <v>42000</v>
      </c>
    </row>
    <row r="17" ht="14.25" customHeight="1">
      <c r="B17" s="17" t="s">
        <v>55</v>
      </c>
      <c r="C17" s="18">
        <v>26135.0</v>
      </c>
      <c r="D17" s="17">
        <v>2300.0</v>
      </c>
      <c r="E17" s="17">
        <v>8.0</v>
      </c>
      <c r="F17" s="17">
        <f t="shared" si="1"/>
        <v>18400</v>
      </c>
    </row>
    <row r="18" ht="14.25" customHeight="1">
      <c r="B18" s="17" t="s">
        <v>56</v>
      </c>
      <c r="C18" s="18">
        <v>51254.0</v>
      </c>
      <c r="D18" s="17">
        <v>2850.0</v>
      </c>
      <c r="E18" s="17">
        <v>8.0</v>
      </c>
      <c r="F18" s="17">
        <f t="shared" si="1"/>
        <v>22800</v>
      </c>
    </row>
    <row r="19" ht="14.25" customHeight="1">
      <c r="A19" s="17" t="s">
        <v>57</v>
      </c>
      <c r="B19" s="17" t="s">
        <v>58</v>
      </c>
      <c r="C19" s="18">
        <v>802513.0</v>
      </c>
      <c r="D19" s="17">
        <v>1650.0</v>
      </c>
      <c r="E19" s="17">
        <v>6.0</v>
      </c>
      <c r="F19" s="17">
        <f t="shared" si="1"/>
        <v>9900</v>
      </c>
    </row>
    <row r="20" ht="14.25" customHeight="1">
      <c r="B20" s="17" t="s">
        <v>59</v>
      </c>
      <c r="C20" s="18">
        <v>82462.0</v>
      </c>
      <c r="D20" s="17">
        <v>1680.0</v>
      </c>
      <c r="E20" s="17">
        <v>6.0</v>
      </c>
      <c r="F20" s="17">
        <f t="shared" si="1"/>
        <v>10080</v>
      </c>
    </row>
    <row r="21" ht="14.25" customHeight="1">
      <c r="B21" s="17" t="s">
        <v>60</v>
      </c>
      <c r="C21" s="18">
        <v>102307.0</v>
      </c>
      <c r="D21" s="17">
        <v>1280.0</v>
      </c>
      <c r="E21" s="17">
        <v>6.0</v>
      </c>
      <c r="F21" s="17">
        <f t="shared" si="1"/>
        <v>7680</v>
      </c>
    </row>
    <row r="22" ht="14.25" customHeight="1">
      <c r="A22" s="17" t="s">
        <v>61</v>
      </c>
      <c r="B22" s="17" t="s">
        <v>62</v>
      </c>
      <c r="C22" s="18" t="s">
        <v>63</v>
      </c>
      <c r="D22" s="17">
        <v>2300.0</v>
      </c>
      <c r="E22" s="17">
        <v>12.0</v>
      </c>
      <c r="F22" s="17">
        <f t="shared" si="1"/>
        <v>27600</v>
      </c>
    </row>
    <row r="23" ht="14.25" customHeight="1">
      <c r="B23" s="17" t="s">
        <v>64</v>
      </c>
      <c r="C23" s="18" t="s">
        <v>65</v>
      </c>
      <c r="D23" s="17">
        <v>2500.0</v>
      </c>
      <c r="E23" s="17">
        <v>12.0</v>
      </c>
      <c r="F23" s="17">
        <f t="shared" si="1"/>
        <v>30000</v>
      </c>
    </row>
    <row r="24" ht="14.25" customHeight="1">
      <c r="B24" s="17" t="s">
        <v>66</v>
      </c>
      <c r="C24" s="18">
        <v>70086.0</v>
      </c>
      <c r="D24" s="17">
        <v>950.0</v>
      </c>
      <c r="E24" s="17">
        <v>12.0</v>
      </c>
      <c r="F24" s="17">
        <f t="shared" si="1"/>
        <v>11400</v>
      </c>
    </row>
    <row r="25" ht="14.25" customHeight="1">
      <c r="A25" s="17" t="s">
        <v>67</v>
      </c>
      <c r="B25" s="17" t="s">
        <v>68</v>
      </c>
      <c r="C25" s="18" t="s">
        <v>69</v>
      </c>
      <c r="D25" s="17">
        <v>1700.0</v>
      </c>
      <c r="E25" s="17">
        <v>12.0</v>
      </c>
      <c r="F25" s="17">
        <f t="shared" si="1"/>
        <v>20400</v>
      </c>
    </row>
    <row r="26" ht="14.25" customHeight="1">
      <c r="B26" s="17" t="s">
        <v>70</v>
      </c>
      <c r="C26" s="18" t="s">
        <v>71</v>
      </c>
      <c r="D26" s="17">
        <v>2200.0</v>
      </c>
      <c r="E26" s="17">
        <v>12.0</v>
      </c>
      <c r="F26" s="17">
        <f t="shared" si="1"/>
        <v>26400</v>
      </c>
    </row>
    <row r="27" ht="14.25" customHeight="1">
      <c r="A27" s="17" t="s">
        <v>72</v>
      </c>
      <c r="B27" s="17" t="s">
        <v>73</v>
      </c>
      <c r="C27" s="18">
        <v>25495.0</v>
      </c>
      <c r="D27" s="17">
        <v>1450.0</v>
      </c>
      <c r="E27" s="17">
        <v>12.0</v>
      </c>
      <c r="F27" s="17">
        <f t="shared" si="1"/>
        <v>17400</v>
      </c>
    </row>
    <row r="28" ht="14.25" customHeight="1">
      <c r="A28" s="17" t="s">
        <v>74</v>
      </c>
      <c r="B28" s="17" t="s">
        <v>75</v>
      </c>
      <c r="C28" s="18" t="s">
        <v>76</v>
      </c>
      <c r="D28" s="17">
        <v>1000.0</v>
      </c>
      <c r="E28" s="17">
        <v>12.0</v>
      </c>
      <c r="F28" s="17">
        <f t="shared" si="1"/>
        <v>12000</v>
      </c>
    </row>
    <row r="29" ht="14.25" customHeight="1">
      <c r="B29" s="17" t="s">
        <v>77</v>
      </c>
      <c r="C29" s="18">
        <v>13465.0</v>
      </c>
      <c r="D29" s="17">
        <v>1000.0</v>
      </c>
      <c r="E29" s="17">
        <v>20.0</v>
      </c>
      <c r="F29" s="17">
        <f t="shared" si="1"/>
        <v>20000</v>
      </c>
    </row>
    <row r="30" ht="14.25" customHeight="1">
      <c r="C30" s="18"/>
      <c r="F30" s="17">
        <f>SUM(F2:F29)</f>
        <v>613860</v>
      </c>
    </row>
    <row r="31" ht="14.25" customHeight="1">
      <c r="C31" s="18"/>
    </row>
    <row r="32" ht="14.25" customHeight="1">
      <c r="C32" s="18"/>
    </row>
    <row r="33" ht="14.25" customHeight="1">
      <c r="C33" s="18"/>
    </row>
    <row r="34" ht="14.25" customHeight="1">
      <c r="C34" s="18"/>
    </row>
    <row r="35" ht="14.25" customHeight="1">
      <c r="C35" s="18"/>
    </row>
    <row r="36" ht="14.25" customHeight="1">
      <c r="C36" s="18"/>
    </row>
    <row r="37" ht="14.25" customHeight="1">
      <c r="C37" s="18"/>
    </row>
    <row r="38" ht="14.25" customHeight="1">
      <c r="C38" s="18"/>
    </row>
    <row r="39" ht="14.25" customHeight="1">
      <c r="C39" s="18"/>
    </row>
    <row r="40" ht="14.25" customHeight="1">
      <c r="C40" s="18"/>
    </row>
    <row r="41" ht="14.25" customHeight="1">
      <c r="C41" s="18"/>
    </row>
    <row r="42" ht="14.25" customHeight="1">
      <c r="C42" s="18"/>
    </row>
    <row r="43" ht="14.25" customHeight="1">
      <c r="C43" s="18"/>
    </row>
    <row r="44" ht="14.25" customHeight="1">
      <c r="C44" s="18"/>
    </row>
    <row r="45" ht="14.25" customHeight="1">
      <c r="C45" s="18"/>
    </row>
    <row r="46" ht="14.25" customHeight="1">
      <c r="C46" s="18"/>
    </row>
    <row r="47" ht="14.25" customHeight="1">
      <c r="C47" s="18"/>
    </row>
    <row r="48" ht="14.25" customHeight="1">
      <c r="C48" s="18"/>
    </row>
    <row r="49" ht="14.25" customHeight="1">
      <c r="C49" s="18"/>
    </row>
    <row r="50" ht="14.25" customHeight="1">
      <c r="C50" s="18"/>
    </row>
    <row r="51" ht="14.25" customHeight="1">
      <c r="C51" s="18"/>
    </row>
    <row r="52" ht="14.25" customHeight="1">
      <c r="C52" s="18"/>
    </row>
    <row r="53" ht="14.25" customHeight="1">
      <c r="C53" s="18"/>
    </row>
    <row r="54" ht="14.25" customHeight="1">
      <c r="C54" s="18"/>
    </row>
    <row r="55" ht="14.25" customHeight="1">
      <c r="C55" s="18"/>
    </row>
    <row r="56" ht="14.25" customHeight="1">
      <c r="C56" s="18"/>
    </row>
    <row r="57" ht="14.25" customHeight="1">
      <c r="C57" s="18"/>
    </row>
    <row r="58" ht="14.25" customHeight="1">
      <c r="C58" s="18"/>
    </row>
    <row r="59" ht="14.25" customHeight="1">
      <c r="C59" s="18"/>
    </row>
    <row r="60" ht="14.25" customHeight="1">
      <c r="C60" s="18"/>
    </row>
    <row r="61" ht="14.25" customHeight="1">
      <c r="C61" s="18"/>
    </row>
    <row r="62" ht="14.25" customHeight="1">
      <c r="C62" s="18"/>
    </row>
    <row r="63" ht="14.25" customHeight="1">
      <c r="C63" s="18"/>
    </row>
    <row r="64" ht="14.25" customHeight="1">
      <c r="C64" s="18"/>
    </row>
    <row r="65" ht="14.25" customHeight="1">
      <c r="C65" s="18"/>
    </row>
    <row r="66" ht="14.25" customHeight="1">
      <c r="C66" s="18"/>
    </row>
    <row r="67" ht="14.25" customHeight="1">
      <c r="C67" s="18"/>
    </row>
    <row r="68" ht="14.25" customHeight="1">
      <c r="C68" s="18"/>
    </row>
    <row r="69" ht="14.25" customHeight="1">
      <c r="C69" s="18"/>
    </row>
    <row r="70" ht="14.25" customHeight="1">
      <c r="C70" s="18"/>
    </row>
    <row r="71" ht="14.25" customHeight="1">
      <c r="C71" s="18"/>
    </row>
    <row r="72" ht="14.25" customHeight="1">
      <c r="C72" s="18"/>
    </row>
    <row r="73" ht="14.25" customHeight="1">
      <c r="C73" s="18"/>
    </row>
    <row r="74" ht="14.25" customHeight="1">
      <c r="C74" s="18"/>
    </row>
    <row r="75" ht="14.25" customHeight="1">
      <c r="C75" s="18"/>
    </row>
    <row r="76" ht="14.25" customHeight="1">
      <c r="C76" s="18"/>
    </row>
    <row r="77" ht="14.25" customHeight="1">
      <c r="C77" s="18"/>
    </row>
    <row r="78" ht="14.25" customHeight="1">
      <c r="C78" s="18"/>
    </row>
    <row r="79" ht="14.25" customHeight="1">
      <c r="C79" s="18"/>
    </row>
    <row r="80" ht="14.25" customHeight="1">
      <c r="C80" s="18"/>
    </row>
    <row r="81" ht="14.25" customHeight="1">
      <c r="C81" s="18"/>
    </row>
    <row r="82" ht="14.25" customHeight="1">
      <c r="C82" s="18"/>
    </row>
    <row r="83" ht="14.25" customHeight="1">
      <c r="C83" s="18"/>
    </row>
    <row r="84" ht="14.25" customHeight="1">
      <c r="C84" s="18"/>
    </row>
    <row r="85" ht="14.25" customHeight="1">
      <c r="C85" s="18"/>
    </row>
    <row r="86" ht="14.25" customHeight="1">
      <c r="C86" s="18"/>
    </row>
    <row r="87" ht="14.25" customHeight="1">
      <c r="C87" s="18"/>
    </row>
    <row r="88" ht="14.25" customHeight="1">
      <c r="C88" s="18"/>
    </row>
    <row r="89" ht="14.25" customHeight="1">
      <c r="C89" s="18"/>
    </row>
    <row r="90" ht="14.25" customHeight="1">
      <c r="C90" s="18"/>
    </row>
    <row r="91" ht="14.25" customHeight="1">
      <c r="C91" s="18"/>
    </row>
    <row r="92" ht="14.25" customHeight="1">
      <c r="C92" s="18"/>
    </row>
    <row r="93" ht="14.25" customHeight="1">
      <c r="C93" s="18"/>
    </row>
    <row r="94" ht="14.25" customHeight="1">
      <c r="C94" s="18"/>
    </row>
    <row r="95" ht="14.25" customHeight="1">
      <c r="C95" s="18"/>
    </row>
    <row r="96" ht="14.25" customHeight="1">
      <c r="C96" s="18"/>
    </row>
    <row r="97" ht="14.25" customHeight="1">
      <c r="C97" s="18"/>
    </row>
    <row r="98" ht="14.25" customHeight="1">
      <c r="C98" s="18"/>
    </row>
    <row r="99" ht="14.25" customHeight="1">
      <c r="C99" s="18"/>
    </row>
    <row r="100" ht="14.25" customHeight="1">
      <c r="C100" s="18"/>
    </row>
    <row r="101" ht="14.25" customHeight="1">
      <c r="C101" s="18"/>
    </row>
    <row r="102" ht="14.25" customHeight="1">
      <c r="C102" s="18"/>
    </row>
    <row r="103" ht="14.25" customHeight="1">
      <c r="C103" s="18"/>
    </row>
    <row r="104" ht="14.25" customHeight="1">
      <c r="C104" s="18"/>
    </row>
    <row r="105" ht="14.25" customHeight="1">
      <c r="C105" s="18"/>
    </row>
    <row r="106" ht="14.25" customHeight="1">
      <c r="C106" s="18"/>
    </row>
    <row r="107" ht="14.25" customHeight="1">
      <c r="C107" s="18"/>
    </row>
    <row r="108" ht="14.25" customHeight="1">
      <c r="C108" s="18"/>
    </row>
    <row r="109" ht="14.25" customHeight="1">
      <c r="C109" s="18"/>
    </row>
    <row r="110" ht="14.25" customHeight="1">
      <c r="C110" s="18"/>
    </row>
    <row r="111" ht="14.25" customHeight="1">
      <c r="C111" s="18"/>
    </row>
    <row r="112" ht="14.25" customHeight="1">
      <c r="C112" s="18"/>
    </row>
    <row r="113" ht="14.25" customHeight="1">
      <c r="C113" s="18"/>
    </row>
    <row r="114" ht="14.25" customHeight="1">
      <c r="C114" s="18"/>
    </row>
    <row r="115" ht="14.25" customHeight="1">
      <c r="C115" s="18"/>
    </row>
    <row r="116" ht="14.25" customHeight="1">
      <c r="C116" s="18"/>
    </row>
    <row r="117" ht="14.25" customHeight="1">
      <c r="C117" s="18"/>
    </row>
    <row r="118" ht="14.25" customHeight="1">
      <c r="C118" s="18"/>
    </row>
    <row r="119" ht="14.25" customHeight="1">
      <c r="C119" s="18"/>
    </row>
    <row r="120" ht="14.25" customHeight="1">
      <c r="C120" s="18"/>
    </row>
    <row r="121" ht="14.25" customHeight="1">
      <c r="C121" s="18"/>
    </row>
    <row r="122" ht="14.25" customHeight="1">
      <c r="C122" s="18"/>
    </row>
    <row r="123" ht="14.25" customHeight="1">
      <c r="C123" s="18"/>
    </row>
    <row r="124" ht="14.25" customHeight="1">
      <c r="C124" s="18"/>
    </row>
    <row r="125" ht="14.25" customHeight="1">
      <c r="C125" s="18"/>
    </row>
    <row r="126" ht="14.25" customHeight="1">
      <c r="C126" s="18"/>
    </row>
    <row r="127" ht="14.25" customHeight="1">
      <c r="C127" s="18"/>
    </row>
    <row r="128" ht="14.25" customHeight="1">
      <c r="C128" s="18"/>
    </row>
    <row r="129" ht="14.25" customHeight="1">
      <c r="C129" s="18"/>
    </row>
    <row r="130" ht="14.25" customHeight="1">
      <c r="C130" s="18"/>
    </row>
    <row r="131" ht="14.25" customHeight="1">
      <c r="C131" s="18"/>
    </row>
    <row r="132" ht="14.25" customHeight="1">
      <c r="C132" s="18"/>
    </row>
    <row r="133" ht="14.25" customHeight="1">
      <c r="C133" s="18"/>
    </row>
    <row r="134" ht="14.25" customHeight="1">
      <c r="C134" s="18"/>
    </row>
    <row r="135" ht="14.25" customHeight="1">
      <c r="C135" s="18"/>
    </row>
    <row r="136" ht="14.25" customHeight="1">
      <c r="C136" s="18"/>
    </row>
    <row r="137" ht="14.25" customHeight="1">
      <c r="C137" s="18"/>
    </row>
    <row r="138" ht="14.25" customHeight="1">
      <c r="C138" s="18"/>
    </row>
    <row r="139" ht="14.25" customHeight="1">
      <c r="C139" s="18"/>
    </row>
    <row r="140" ht="14.25" customHeight="1">
      <c r="C140" s="18"/>
    </row>
    <row r="141" ht="14.25" customHeight="1">
      <c r="C141" s="18"/>
    </row>
    <row r="142" ht="14.25" customHeight="1">
      <c r="C142" s="18"/>
    </row>
    <row r="143" ht="14.25" customHeight="1">
      <c r="C143" s="18"/>
    </row>
    <row r="144" ht="14.25" customHeight="1">
      <c r="C144" s="18"/>
    </row>
    <row r="145" ht="14.25" customHeight="1">
      <c r="C145" s="18"/>
    </row>
    <row r="146" ht="14.25" customHeight="1">
      <c r="C146" s="18"/>
    </row>
    <row r="147" ht="14.25" customHeight="1">
      <c r="C147" s="18"/>
    </row>
    <row r="148" ht="14.25" customHeight="1">
      <c r="C148" s="18"/>
    </row>
    <row r="149" ht="14.25" customHeight="1">
      <c r="C149" s="18"/>
    </row>
    <row r="150" ht="14.25" customHeight="1">
      <c r="C150" s="18"/>
    </row>
    <row r="151" ht="14.25" customHeight="1">
      <c r="C151" s="18"/>
    </row>
    <row r="152" ht="14.25" customHeight="1">
      <c r="C152" s="18"/>
    </row>
    <row r="153" ht="14.25" customHeight="1">
      <c r="C153" s="18"/>
    </row>
    <row r="154" ht="14.25" customHeight="1">
      <c r="C154" s="18"/>
    </row>
    <row r="155" ht="14.25" customHeight="1">
      <c r="C155" s="18"/>
    </row>
    <row r="156" ht="14.25" customHeight="1">
      <c r="C156" s="18"/>
    </row>
    <row r="157" ht="14.25" customHeight="1">
      <c r="C157" s="18"/>
    </row>
    <row r="158" ht="14.25" customHeight="1">
      <c r="C158" s="18"/>
    </row>
    <row r="159" ht="14.25" customHeight="1">
      <c r="C159" s="18"/>
    </row>
    <row r="160" ht="14.25" customHeight="1">
      <c r="C160" s="18"/>
    </row>
    <row r="161" ht="14.25" customHeight="1">
      <c r="C161" s="18"/>
    </row>
    <row r="162" ht="14.25" customHeight="1">
      <c r="C162" s="18"/>
    </row>
    <row r="163" ht="14.25" customHeight="1">
      <c r="C163" s="18"/>
    </row>
    <row r="164" ht="14.25" customHeight="1">
      <c r="C164" s="18"/>
    </row>
    <row r="165" ht="14.25" customHeight="1">
      <c r="C165" s="18"/>
    </row>
    <row r="166" ht="14.25" customHeight="1">
      <c r="C166" s="18"/>
    </row>
    <row r="167" ht="14.25" customHeight="1">
      <c r="C167" s="18"/>
    </row>
    <row r="168" ht="14.25" customHeight="1">
      <c r="C168" s="18"/>
    </row>
    <row r="169" ht="14.25" customHeight="1">
      <c r="C169" s="18"/>
    </row>
    <row r="170" ht="14.25" customHeight="1">
      <c r="C170" s="18"/>
    </row>
    <row r="171" ht="14.25" customHeight="1">
      <c r="C171" s="18"/>
    </row>
    <row r="172" ht="14.25" customHeight="1">
      <c r="C172" s="18"/>
    </row>
    <row r="173" ht="14.25" customHeight="1">
      <c r="C173" s="18"/>
    </row>
    <row r="174" ht="14.25" customHeight="1">
      <c r="C174" s="18"/>
    </row>
    <row r="175" ht="14.25" customHeight="1">
      <c r="C175" s="18"/>
    </row>
    <row r="176" ht="14.25" customHeight="1">
      <c r="C176" s="18"/>
    </row>
    <row r="177" ht="14.25" customHeight="1">
      <c r="C177" s="18"/>
    </row>
    <row r="178" ht="14.25" customHeight="1">
      <c r="C178" s="18"/>
    </row>
    <row r="179" ht="14.25" customHeight="1">
      <c r="C179" s="18"/>
    </row>
    <row r="180" ht="14.25" customHeight="1">
      <c r="C180" s="18"/>
    </row>
    <row r="181" ht="14.25" customHeight="1">
      <c r="C181" s="18"/>
    </row>
    <row r="182" ht="14.25" customHeight="1">
      <c r="C182" s="18"/>
    </row>
    <row r="183" ht="14.25" customHeight="1">
      <c r="C183" s="18"/>
    </row>
    <row r="184" ht="14.25" customHeight="1">
      <c r="C184" s="18"/>
    </row>
    <row r="185" ht="14.25" customHeight="1">
      <c r="C185" s="18"/>
    </row>
    <row r="186" ht="14.25" customHeight="1">
      <c r="C186" s="18"/>
    </row>
    <row r="187" ht="14.25" customHeight="1">
      <c r="C187" s="18"/>
    </row>
    <row r="188" ht="14.25" customHeight="1">
      <c r="C188" s="18"/>
    </row>
    <row r="189" ht="14.25" customHeight="1">
      <c r="C189" s="18"/>
    </row>
    <row r="190" ht="14.25" customHeight="1">
      <c r="C190" s="18"/>
    </row>
    <row r="191" ht="14.25" customHeight="1">
      <c r="C191" s="18"/>
    </row>
    <row r="192" ht="14.25" customHeight="1">
      <c r="C192" s="18"/>
    </row>
    <row r="193" ht="14.25" customHeight="1">
      <c r="C193" s="18"/>
    </row>
    <row r="194" ht="14.25" customHeight="1">
      <c r="C194" s="18"/>
    </row>
    <row r="195" ht="14.25" customHeight="1">
      <c r="C195" s="18"/>
    </row>
    <row r="196" ht="14.25" customHeight="1">
      <c r="C196" s="18"/>
    </row>
    <row r="197" ht="14.25" customHeight="1">
      <c r="C197" s="18"/>
    </row>
    <row r="198" ht="14.25" customHeight="1">
      <c r="C198" s="18"/>
    </row>
    <row r="199" ht="14.25" customHeight="1">
      <c r="C199" s="18"/>
    </row>
    <row r="200" ht="14.25" customHeight="1">
      <c r="C200" s="18"/>
    </row>
    <row r="201" ht="14.25" customHeight="1">
      <c r="C201" s="18"/>
    </row>
    <row r="202" ht="14.25" customHeight="1">
      <c r="C202" s="18"/>
    </row>
    <row r="203" ht="14.25" customHeight="1">
      <c r="C203" s="18"/>
    </row>
    <row r="204" ht="14.25" customHeight="1">
      <c r="C204" s="18"/>
    </row>
    <row r="205" ht="14.25" customHeight="1">
      <c r="C205" s="18"/>
    </row>
    <row r="206" ht="14.25" customHeight="1">
      <c r="C206" s="18"/>
    </row>
    <row r="207" ht="14.25" customHeight="1">
      <c r="C207" s="18"/>
    </row>
    <row r="208" ht="14.25" customHeight="1">
      <c r="C208" s="18"/>
    </row>
    <row r="209" ht="14.25" customHeight="1">
      <c r="C209" s="18"/>
    </row>
    <row r="210" ht="14.25" customHeight="1">
      <c r="C210" s="18"/>
    </row>
    <row r="211" ht="14.25" customHeight="1">
      <c r="C211" s="18"/>
    </row>
    <row r="212" ht="14.25" customHeight="1">
      <c r="C212" s="18"/>
    </row>
    <row r="213" ht="14.25" customHeight="1">
      <c r="C213" s="18"/>
    </row>
    <row r="214" ht="14.25" customHeight="1">
      <c r="C214" s="18"/>
    </row>
    <row r="215" ht="14.25" customHeight="1">
      <c r="C215" s="18"/>
    </row>
    <row r="216" ht="14.25" customHeight="1">
      <c r="C216" s="18"/>
    </row>
    <row r="217" ht="14.25" customHeight="1">
      <c r="C217" s="18"/>
    </row>
    <row r="218" ht="14.25" customHeight="1">
      <c r="C218" s="18"/>
    </row>
    <row r="219" ht="14.25" customHeight="1">
      <c r="C219" s="18"/>
    </row>
    <row r="220" ht="14.25" customHeight="1">
      <c r="C220" s="18"/>
    </row>
    <row r="221" ht="14.25" customHeight="1">
      <c r="C221" s="18"/>
    </row>
    <row r="222" ht="14.25" customHeight="1">
      <c r="C222" s="18"/>
    </row>
    <row r="223" ht="14.25" customHeight="1">
      <c r="C223" s="18"/>
    </row>
    <row r="224" ht="14.25" customHeight="1">
      <c r="C224" s="18"/>
    </row>
    <row r="225" ht="14.25" customHeight="1">
      <c r="C225" s="18"/>
    </row>
    <row r="226" ht="14.25" customHeight="1">
      <c r="C226" s="18"/>
    </row>
    <row r="227" ht="14.25" customHeight="1">
      <c r="C227" s="18"/>
    </row>
    <row r="228" ht="14.25" customHeight="1">
      <c r="C228" s="18"/>
    </row>
    <row r="229" ht="14.25" customHeight="1">
      <c r="C229" s="18"/>
    </row>
    <row r="230" ht="14.25" customHeight="1">
      <c r="C230" s="18"/>
    </row>
    <row r="231" ht="14.25" customHeight="1">
      <c r="C231" s="18"/>
    </row>
    <row r="232" ht="14.25" customHeight="1">
      <c r="C232" s="18"/>
    </row>
    <row r="233" ht="14.25" customHeight="1">
      <c r="C233" s="18"/>
    </row>
    <row r="234" ht="14.25" customHeight="1">
      <c r="C234" s="18"/>
    </row>
    <row r="235" ht="14.25" customHeight="1">
      <c r="C235" s="18"/>
    </row>
    <row r="236" ht="14.25" customHeight="1">
      <c r="C236" s="18"/>
    </row>
    <row r="237" ht="14.25" customHeight="1">
      <c r="C237" s="18"/>
    </row>
    <row r="238" ht="14.25" customHeight="1">
      <c r="C238" s="18"/>
    </row>
    <row r="239" ht="14.25" customHeight="1">
      <c r="C239" s="18"/>
    </row>
    <row r="240" ht="14.25" customHeight="1">
      <c r="C240" s="18"/>
    </row>
    <row r="241" ht="14.25" customHeight="1">
      <c r="C241" s="18"/>
    </row>
    <row r="242" ht="14.25" customHeight="1">
      <c r="C242" s="18"/>
    </row>
    <row r="243" ht="14.25" customHeight="1">
      <c r="C243" s="18"/>
    </row>
    <row r="244" ht="14.25" customHeight="1">
      <c r="C244" s="18"/>
    </row>
    <row r="245" ht="14.25" customHeight="1">
      <c r="C245" s="18"/>
    </row>
    <row r="246" ht="14.25" customHeight="1">
      <c r="C246" s="18"/>
    </row>
    <row r="247" ht="14.25" customHeight="1">
      <c r="C247" s="18"/>
    </row>
    <row r="248" ht="14.25" customHeight="1">
      <c r="C248" s="18"/>
    </row>
    <row r="249" ht="14.25" customHeight="1">
      <c r="C249" s="18"/>
    </row>
    <row r="250" ht="14.25" customHeight="1">
      <c r="C250" s="18"/>
    </row>
    <row r="251" ht="14.25" customHeight="1">
      <c r="C251" s="18"/>
    </row>
    <row r="252" ht="14.25" customHeight="1">
      <c r="C252" s="18"/>
    </row>
    <row r="253" ht="14.25" customHeight="1">
      <c r="C253" s="18"/>
    </row>
    <row r="254" ht="14.25" customHeight="1">
      <c r="C254" s="18"/>
    </row>
    <row r="255" ht="14.25" customHeight="1">
      <c r="C255" s="18"/>
    </row>
    <row r="256" ht="14.25" customHeight="1">
      <c r="C256" s="18"/>
    </row>
    <row r="257" ht="14.25" customHeight="1">
      <c r="C257" s="18"/>
    </row>
    <row r="258" ht="14.25" customHeight="1">
      <c r="C258" s="18"/>
    </row>
    <row r="259" ht="14.25" customHeight="1">
      <c r="C259" s="18"/>
    </row>
    <row r="260" ht="14.25" customHeight="1">
      <c r="C260" s="18"/>
    </row>
    <row r="261" ht="14.25" customHeight="1">
      <c r="C261" s="18"/>
    </row>
    <row r="262" ht="14.25" customHeight="1">
      <c r="C262" s="18"/>
    </row>
    <row r="263" ht="14.25" customHeight="1">
      <c r="C263" s="18"/>
    </row>
    <row r="264" ht="14.25" customHeight="1">
      <c r="C264" s="18"/>
    </row>
    <row r="265" ht="14.25" customHeight="1">
      <c r="C265" s="18"/>
    </row>
    <row r="266" ht="14.25" customHeight="1">
      <c r="C266" s="18"/>
    </row>
    <row r="267" ht="14.25" customHeight="1">
      <c r="C267" s="18"/>
    </row>
    <row r="268" ht="14.25" customHeight="1">
      <c r="C268" s="18"/>
    </row>
    <row r="269" ht="14.25" customHeight="1">
      <c r="C269" s="18"/>
    </row>
    <row r="270" ht="14.25" customHeight="1">
      <c r="C270" s="18"/>
    </row>
    <row r="271" ht="14.25" customHeight="1">
      <c r="C271" s="18"/>
    </row>
    <row r="272" ht="14.25" customHeight="1">
      <c r="C272" s="18"/>
    </row>
    <row r="273" ht="14.25" customHeight="1">
      <c r="C273" s="18"/>
    </row>
    <row r="274" ht="14.25" customHeight="1">
      <c r="C274" s="18"/>
    </row>
    <row r="275" ht="14.25" customHeight="1">
      <c r="C275" s="18"/>
    </row>
    <row r="276" ht="14.25" customHeight="1">
      <c r="C276" s="18"/>
    </row>
    <row r="277" ht="14.25" customHeight="1">
      <c r="C277" s="18"/>
    </row>
    <row r="278" ht="14.25" customHeight="1">
      <c r="C278" s="18"/>
    </row>
    <row r="279" ht="14.25" customHeight="1">
      <c r="C279" s="18"/>
    </row>
    <row r="280" ht="14.25" customHeight="1">
      <c r="C280" s="18"/>
    </row>
    <row r="281" ht="14.25" customHeight="1">
      <c r="C281" s="18"/>
    </row>
    <row r="282" ht="14.25" customHeight="1">
      <c r="C282" s="18"/>
    </row>
    <row r="283" ht="14.25" customHeight="1">
      <c r="C283" s="18"/>
    </row>
    <row r="284" ht="14.25" customHeight="1">
      <c r="C284" s="18"/>
    </row>
    <row r="285" ht="14.25" customHeight="1">
      <c r="C285" s="18"/>
    </row>
    <row r="286" ht="14.25" customHeight="1">
      <c r="C286" s="18"/>
    </row>
    <row r="287" ht="14.25" customHeight="1">
      <c r="C287" s="18"/>
    </row>
    <row r="288" ht="14.25" customHeight="1">
      <c r="C288" s="18"/>
    </row>
    <row r="289" ht="14.25" customHeight="1">
      <c r="C289" s="18"/>
    </row>
    <row r="290" ht="14.25" customHeight="1">
      <c r="C290" s="18"/>
    </row>
    <row r="291" ht="14.25" customHeight="1">
      <c r="C291" s="18"/>
    </row>
    <row r="292" ht="14.25" customHeight="1">
      <c r="C292" s="18"/>
    </row>
    <row r="293" ht="14.25" customHeight="1">
      <c r="C293" s="18"/>
    </row>
    <row r="294" ht="14.25" customHeight="1">
      <c r="C294" s="18"/>
    </row>
    <row r="295" ht="14.25" customHeight="1">
      <c r="C295" s="18"/>
    </row>
    <row r="296" ht="14.25" customHeight="1">
      <c r="C296" s="18"/>
    </row>
    <row r="297" ht="14.25" customHeight="1">
      <c r="C297" s="18"/>
    </row>
    <row r="298" ht="14.25" customHeight="1">
      <c r="C298" s="18"/>
    </row>
    <row r="299" ht="14.25" customHeight="1">
      <c r="C299" s="18"/>
    </row>
    <row r="300" ht="14.25" customHeight="1">
      <c r="C300" s="18"/>
    </row>
    <row r="301" ht="14.25" customHeight="1">
      <c r="C301" s="18"/>
    </row>
    <row r="302" ht="14.25" customHeight="1">
      <c r="C302" s="18"/>
    </row>
    <row r="303" ht="14.25" customHeight="1">
      <c r="C303" s="18"/>
    </row>
    <row r="304" ht="14.25" customHeight="1">
      <c r="C304" s="18"/>
    </row>
    <row r="305" ht="14.25" customHeight="1">
      <c r="C305" s="18"/>
    </row>
    <row r="306" ht="14.25" customHeight="1">
      <c r="C306" s="18"/>
    </row>
    <row r="307" ht="14.25" customHeight="1">
      <c r="C307" s="18"/>
    </row>
    <row r="308" ht="14.25" customHeight="1">
      <c r="C308" s="18"/>
    </row>
    <row r="309" ht="14.25" customHeight="1">
      <c r="C309" s="18"/>
    </row>
    <row r="310" ht="14.25" customHeight="1">
      <c r="C310" s="18"/>
    </row>
    <row r="311" ht="14.25" customHeight="1">
      <c r="C311" s="18"/>
    </row>
    <row r="312" ht="14.25" customHeight="1">
      <c r="C312" s="18"/>
    </row>
    <row r="313" ht="14.25" customHeight="1">
      <c r="C313" s="18"/>
    </row>
    <row r="314" ht="14.25" customHeight="1">
      <c r="C314" s="18"/>
    </row>
    <row r="315" ht="14.25" customHeight="1">
      <c r="C315" s="18"/>
    </row>
    <row r="316" ht="14.25" customHeight="1">
      <c r="C316" s="18"/>
    </row>
    <row r="317" ht="14.25" customHeight="1">
      <c r="C317" s="18"/>
    </row>
    <row r="318" ht="14.25" customHeight="1">
      <c r="C318" s="18"/>
    </row>
    <row r="319" ht="14.25" customHeight="1">
      <c r="C319" s="18"/>
    </row>
    <row r="320" ht="14.25" customHeight="1">
      <c r="C320" s="18"/>
    </row>
    <row r="321" ht="14.25" customHeight="1">
      <c r="C321" s="18"/>
    </row>
    <row r="322" ht="14.25" customHeight="1">
      <c r="C322" s="18"/>
    </row>
    <row r="323" ht="14.25" customHeight="1">
      <c r="C323" s="18"/>
    </row>
    <row r="324" ht="14.25" customHeight="1">
      <c r="C324" s="18"/>
    </row>
    <row r="325" ht="14.25" customHeight="1">
      <c r="C325" s="18"/>
    </row>
    <row r="326" ht="14.25" customHeight="1">
      <c r="C326" s="18"/>
    </row>
    <row r="327" ht="14.25" customHeight="1">
      <c r="C327" s="18"/>
    </row>
    <row r="328" ht="14.25" customHeight="1">
      <c r="C328" s="18"/>
    </row>
    <row r="329" ht="14.25" customHeight="1">
      <c r="C329" s="18"/>
    </row>
    <row r="330" ht="14.25" customHeight="1">
      <c r="C330" s="18"/>
    </row>
    <row r="331" ht="14.25" customHeight="1">
      <c r="C331" s="18"/>
    </row>
    <row r="332" ht="14.25" customHeight="1">
      <c r="C332" s="18"/>
    </row>
    <row r="333" ht="14.25" customHeight="1">
      <c r="C333" s="18"/>
    </row>
    <row r="334" ht="14.25" customHeight="1">
      <c r="C334" s="18"/>
    </row>
    <row r="335" ht="14.25" customHeight="1">
      <c r="C335" s="18"/>
    </row>
    <row r="336" ht="14.25" customHeight="1">
      <c r="C336" s="18"/>
    </row>
    <row r="337" ht="14.25" customHeight="1">
      <c r="C337" s="18"/>
    </row>
    <row r="338" ht="14.25" customHeight="1">
      <c r="C338" s="18"/>
    </row>
    <row r="339" ht="14.25" customHeight="1">
      <c r="C339" s="18"/>
    </row>
    <row r="340" ht="14.25" customHeight="1">
      <c r="C340" s="18"/>
    </row>
    <row r="341" ht="14.25" customHeight="1">
      <c r="C341" s="18"/>
    </row>
    <row r="342" ht="14.25" customHeight="1">
      <c r="C342" s="18"/>
    </row>
    <row r="343" ht="14.25" customHeight="1">
      <c r="C343" s="18"/>
    </row>
    <row r="344" ht="14.25" customHeight="1">
      <c r="C344" s="18"/>
    </row>
    <row r="345" ht="14.25" customHeight="1">
      <c r="C345" s="18"/>
    </row>
    <row r="346" ht="14.25" customHeight="1">
      <c r="C346" s="18"/>
    </row>
    <row r="347" ht="14.25" customHeight="1">
      <c r="C347" s="18"/>
    </row>
    <row r="348" ht="14.25" customHeight="1">
      <c r="C348" s="18"/>
    </row>
    <row r="349" ht="14.25" customHeight="1">
      <c r="C349" s="18"/>
    </row>
    <row r="350" ht="14.25" customHeight="1">
      <c r="C350" s="18"/>
    </row>
    <row r="351" ht="14.25" customHeight="1">
      <c r="C351" s="18"/>
    </row>
    <row r="352" ht="14.25" customHeight="1">
      <c r="C352" s="18"/>
    </row>
    <row r="353" ht="14.25" customHeight="1">
      <c r="C353" s="18"/>
    </row>
    <row r="354" ht="14.25" customHeight="1">
      <c r="C354" s="18"/>
    </row>
    <row r="355" ht="14.25" customHeight="1">
      <c r="C355" s="18"/>
    </row>
    <row r="356" ht="14.25" customHeight="1">
      <c r="C356" s="18"/>
    </row>
    <row r="357" ht="14.25" customHeight="1">
      <c r="C357" s="18"/>
    </row>
    <row r="358" ht="14.25" customHeight="1">
      <c r="C358" s="18"/>
    </row>
    <row r="359" ht="14.25" customHeight="1">
      <c r="C359" s="18"/>
    </row>
    <row r="360" ht="14.25" customHeight="1">
      <c r="C360" s="18"/>
    </row>
    <row r="361" ht="14.25" customHeight="1">
      <c r="C361" s="18"/>
    </row>
    <row r="362" ht="14.25" customHeight="1">
      <c r="C362" s="18"/>
    </row>
    <row r="363" ht="14.25" customHeight="1">
      <c r="C363" s="18"/>
    </row>
    <row r="364" ht="14.25" customHeight="1">
      <c r="C364" s="18"/>
    </row>
    <row r="365" ht="14.25" customHeight="1">
      <c r="C365" s="18"/>
    </row>
    <row r="366" ht="14.25" customHeight="1">
      <c r="C366" s="18"/>
    </row>
    <row r="367" ht="14.25" customHeight="1">
      <c r="C367" s="18"/>
    </row>
    <row r="368" ht="14.25" customHeight="1">
      <c r="C368" s="18"/>
    </row>
    <row r="369" ht="14.25" customHeight="1">
      <c r="C369" s="18"/>
    </row>
    <row r="370" ht="14.25" customHeight="1">
      <c r="C370" s="18"/>
    </row>
    <row r="371" ht="14.25" customHeight="1">
      <c r="C371" s="18"/>
    </row>
    <row r="372" ht="14.25" customHeight="1">
      <c r="C372" s="18"/>
    </row>
    <row r="373" ht="14.25" customHeight="1">
      <c r="C373" s="18"/>
    </row>
    <row r="374" ht="14.25" customHeight="1">
      <c r="C374" s="18"/>
    </row>
    <row r="375" ht="14.25" customHeight="1">
      <c r="C375" s="18"/>
    </row>
    <row r="376" ht="14.25" customHeight="1">
      <c r="C376" s="18"/>
    </row>
    <row r="377" ht="14.25" customHeight="1">
      <c r="C377" s="18"/>
    </row>
    <row r="378" ht="14.25" customHeight="1">
      <c r="C378" s="18"/>
    </row>
    <row r="379" ht="14.25" customHeight="1">
      <c r="C379" s="18"/>
    </row>
    <row r="380" ht="14.25" customHeight="1">
      <c r="C380" s="18"/>
    </row>
    <row r="381" ht="14.25" customHeight="1">
      <c r="C381" s="18"/>
    </row>
    <row r="382" ht="14.25" customHeight="1">
      <c r="C382" s="18"/>
    </row>
    <row r="383" ht="14.25" customHeight="1">
      <c r="C383" s="18"/>
    </row>
    <row r="384" ht="14.25" customHeight="1">
      <c r="C384" s="18"/>
    </row>
    <row r="385" ht="14.25" customHeight="1">
      <c r="C385" s="18"/>
    </row>
    <row r="386" ht="14.25" customHeight="1">
      <c r="C386" s="18"/>
    </row>
    <row r="387" ht="14.25" customHeight="1">
      <c r="C387" s="18"/>
    </row>
    <row r="388" ht="14.25" customHeight="1">
      <c r="C388" s="18"/>
    </row>
    <row r="389" ht="14.25" customHeight="1">
      <c r="C389" s="18"/>
    </row>
    <row r="390" ht="14.25" customHeight="1">
      <c r="C390" s="18"/>
    </row>
    <row r="391" ht="14.25" customHeight="1">
      <c r="C391" s="18"/>
    </row>
    <row r="392" ht="14.25" customHeight="1">
      <c r="C392" s="18"/>
    </row>
    <row r="393" ht="14.25" customHeight="1">
      <c r="C393" s="18"/>
    </row>
    <row r="394" ht="14.25" customHeight="1">
      <c r="C394" s="18"/>
    </row>
    <row r="395" ht="14.25" customHeight="1">
      <c r="C395" s="18"/>
    </row>
    <row r="396" ht="14.25" customHeight="1">
      <c r="C396" s="18"/>
    </row>
    <row r="397" ht="14.25" customHeight="1">
      <c r="C397" s="18"/>
    </row>
    <row r="398" ht="14.25" customHeight="1">
      <c r="C398" s="18"/>
    </row>
    <row r="399" ht="14.25" customHeight="1">
      <c r="C399" s="18"/>
    </row>
    <row r="400" ht="14.25" customHeight="1">
      <c r="C400" s="18"/>
    </row>
    <row r="401" ht="14.25" customHeight="1">
      <c r="C401" s="18"/>
    </row>
    <row r="402" ht="14.25" customHeight="1">
      <c r="C402" s="18"/>
    </row>
    <row r="403" ht="14.25" customHeight="1">
      <c r="C403" s="18"/>
    </row>
    <row r="404" ht="14.25" customHeight="1">
      <c r="C404" s="18"/>
    </row>
    <row r="405" ht="14.25" customHeight="1">
      <c r="C405" s="18"/>
    </row>
    <row r="406" ht="14.25" customHeight="1">
      <c r="C406" s="18"/>
    </row>
    <row r="407" ht="14.25" customHeight="1">
      <c r="C407" s="18"/>
    </row>
    <row r="408" ht="14.25" customHeight="1">
      <c r="C408" s="18"/>
    </row>
    <row r="409" ht="14.25" customHeight="1">
      <c r="C409" s="18"/>
    </row>
    <row r="410" ht="14.25" customHeight="1">
      <c r="C410" s="18"/>
    </row>
    <row r="411" ht="14.25" customHeight="1">
      <c r="C411" s="18"/>
    </row>
    <row r="412" ht="14.25" customHeight="1">
      <c r="C412" s="18"/>
    </row>
    <row r="413" ht="14.25" customHeight="1">
      <c r="C413" s="18"/>
    </row>
    <row r="414" ht="14.25" customHeight="1">
      <c r="C414" s="18"/>
    </row>
    <row r="415" ht="14.25" customHeight="1">
      <c r="C415" s="18"/>
    </row>
    <row r="416" ht="14.25" customHeight="1">
      <c r="C416" s="18"/>
    </row>
    <row r="417" ht="14.25" customHeight="1">
      <c r="C417" s="18"/>
    </row>
    <row r="418" ht="14.25" customHeight="1">
      <c r="C418" s="18"/>
    </row>
    <row r="419" ht="14.25" customHeight="1">
      <c r="C419" s="18"/>
    </row>
    <row r="420" ht="14.25" customHeight="1">
      <c r="C420" s="18"/>
    </row>
    <row r="421" ht="14.25" customHeight="1">
      <c r="C421" s="18"/>
    </row>
    <row r="422" ht="14.25" customHeight="1">
      <c r="C422" s="18"/>
    </row>
    <row r="423" ht="14.25" customHeight="1">
      <c r="C423" s="18"/>
    </row>
    <row r="424" ht="14.25" customHeight="1">
      <c r="C424" s="18"/>
    </row>
    <row r="425" ht="14.25" customHeight="1">
      <c r="C425" s="18"/>
    </row>
    <row r="426" ht="14.25" customHeight="1">
      <c r="C426" s="18"/>
    </row>
    <row r="427" ht="14.25" customHeight="1">
      <c r="C427" s="18"/>
    </row>
    <row r="428" ht="14.25" customHeight="1">
      <c r="C428" s="18"/>
    </row>
    <row r="429" ht="14.25" customHeight="1">
      <c r="C429" s="18"/>
    </row>
    <row r="430" ht="14.25" customHeight="1">
      <c r="C430" s="18"/>
    </row>
    <row r="431" ht="14.25" customHeight="1">
      <c r="C431" s="18"/>
    </row>
    <row r="432" ht="14.25" customHeight="1">
      <c r="C432" s="18"/>
    </row>
    <row r="433" ht="14.25" customHeight="1">
      <c r="C433" s="18"/>
    </row>
    <row r="434" ht="14.25" customHeight="1">
      <c r="C434" s="18"/>
    </row>
    <row r="435" ht="14.25" customHeight="1">
      <c r="C435" s="18"/>
    </row>
    <row r="436" ht="14.25" customHeight="1">
      <c r="C436" s="18"/>
    </row>
    <row r="437" ht="14.25" customHeight="1">
      <c r="C437" s="18"/>
    </row>
    <row r="438" ht="14.25" customHeight="1">
      <c r="C438" s="18"/>
    </row>
    <row r="439" ht="14.25" customHeight="1">
      <c r="C439" s="18"/>
    </row>
    <row r="440" ht="14.25" customHeight="1">
      <c r="C440" s="18"/>
    </row>
    <row r="441" ht="14.25" customHeight="1">
      <c r="C441" s="18"/>
    </row>
    <row r="442" ht="14.25" customHeight="1">
      <c r="C442" s="18"/>
    </row>
    <row r="443" ht="14.25" customHeight="1">
      <c r="C443" s="18"/>
    </row>
    <row r="444" ht="14.25" customHeight="1">
      <c r="C444" s="18"/>
    </row>
    <row r="445" ht="14.25" customHeight="1">
      <c r="C445" s="18"/>
    </row>
    <row r="446" ht="14.25" customHeight="1">
      <c r="C446" s="18"/>
    </row>
    <row r="447" ht="14.25" customHeight="1">
      <c r="C447" s="18"/>
    </row>
    <row r="448" ht="14.25" customHeight="1">
      <c r="C448" s="18"/>
    </row>
    <row r="449" ht="14.25" customHeight="1">
      <c r="C449" s="18"/>
    </row>
    <row r="450" ht="14.25" customHeight="1">
      <c r="C450" s="18"/>
    </row>
    <row r="451" ht="14.25" customHeight="1">
      <c r="C451" s="18"/>
    </row>
    <row r="452" ht="14.25" customHeight="1">
      <c r="C452" s="18"/>
    </row>
    <row r="453" ht="14.25" customHeight="1">
      <c r="C453" s="18"/>
    </row>
    <row r="454" ht="14.25" customHeight="1">
      <c r="C454" s="18"/>
    </row>
    <row r="455" ht="14.25" customHeight="1">
      <c r="C455" s="18"/>
    </row>
    <row r="456" ht="14.25" customHeight="1">
      <c r="C456" s="18"/>
    </row>
    <row r="457" ht="14.25" customHeight="1">
      <c r="C457" s="18"/>
    </row>
    <row r="458" ht="14.25" customHeight="1">
      <c r="C458" s="18"/>
    </row>
    <row r="459" ht="14.25" customHeight="1">
      <c r="C459" s="18"/>
    </row>
    <row r="460" ht="14.25" customHeight="1">
      <c r="C460" s="18"/>
    </row>
    <row r="461" ht="14.25" customHeight="1">
      <c r="C461" s="18"/>
    </row>
    <row r="462" ht="14.25" customHeight="1">
      <c r="C462" s="18"/>
    </row>
    <row r="463" ht="14.25" customHeight="1">
      <c r="C463" s="18"/>
    </row>
    <row r="464" ht="14.25" customHeight="1">
      <c r="C464" s="18"/>
    </row>
    <row r="465" ht="14.25" customHeight="1">
      <c r="C465" s="18"/>
    </row>
    <row r="466" ht="14.25" customHeight="1">
      <c r="C466" s="18"/>
    </row>
    <row r="467" ht="14.25" customHeight="1">
      <c r="C467" s="18"/>
    </row>
    <row r="468" ht="14.25" customHeight="1">
      <c r="C468" s="18"/>
    </row>
    <row r="469" ht="14.25" customHeight="1">
      <c r="C469" s="18"/>
    </row>
    <row r="470" ht="14.25" customHeight="1">
      <c r="C470" s="18"/>
    </row>
    <row r="471" ht="14.25" customHeight="1">
      <c r="C471" s="18"/>
    </row>
    <row r="472" ht="14.25" customHeight="1">
      <c r="C472" s="18"/>
    </row>
    <row r="473" ht="14.25" customHeight="1">
      <c r="C473" s="18"/>
    </row>
    <row r="474" ht="14.25" customHeight="1">
      <c r="C474" s="18"/>
    </row>
    <row r="475" ht="14.25" customHeight="1">
      <c r="C475" s="18"/>
    </row>
    <row r="476" ht="14.25" customHeight="1">
      <c r="C476" s="18"/>
    </row>
    <row r="477" ht="14.25" customHeight="1">
      <c r="C477" s="18"/>
    </row>
    <row r="478" ht="14.25" customHeight="1">
      <c r="C478" s="18"/>
    </row>
    <row r="479" ht="14.25" customHeight="1">
      <c r="C479" s="18"/>
    </row>
    <row r="480" ht="14.25" customHeight="1">
      <c r="C480" s="18"/>
    </row>
    <row r="481" ht="14.25" customHeight="1">
      <c r="C481" s="18"/>
    </row>
    <row r="482" ht="14.25" customHeight="1">
      <c r="C482" s="18"/>
    </row>
    <row r="483" ht="14.25" customHeight="1">
      <c r="C483" s="18"/>
    </row>
    <row r="484" ht="14.25" customHeight="1">
      <c r="C484" s="18"/>
    </row>
    <row r="485" ht="14.25" customHeight="1">
      <c r="C485" s="18"/>
    </row>
    <row r="486" ht="14.25" customHeight="1">
      <c r="C486" s="18"/>
    </row>
    <row r="487" ht="14.25" customHeight="1">
      <c r="C487" s="18"/>
    </row>
    <row r="488" ht="14.25" customHeight="1">
      <c r="C488" s="18"/>
    </row>
    <row r="489" ht="14.25" customHeight="1">
      <c r="C489" s="18"/>
    </row>
    <row r="490" ht="14.25" customHeight="1">
      <c r="C490" s="18"/>
    </row>
    <row r="491" ht="14.25" customHeight="1">
      <c r="C491" s="18"/>
    </row>
    <row r="492" ht="14.25" customHeight="1">
      <c r="C492" s="18"/>
    </row>
    <row r="493" ht="14.25" customHeight="1">
      <c r="C493" s="18"/>
    </row>
    <row r="494" ht="14.25" customHeight="1">
      <c r="C494" s="18"/>
    </row>
    <row r="495" ht="14.25" customHeight="1">
      <c r="C495" s="18"/>
    </row>
    <row r="496" ht="14.25" customHeight="1">
      <c r="C496" s="18"/>
    </row>
    <row r="497" ht="14.25" customHeight="1">
      <c r="C497" s="18"/>
    </row>
    <row r="498" ht="14.25" customHeight="1">
      <c r="C498" s="18"/>
    </row>
    <row r="499" ht="14.25" customHeight="1">
      <c r="C499" s="18"/>
    </row>
    <row r="500" ht="14.25" customHeight="1">
      <c r="C500" s="18"/>
    </row>
    <row r="501" ht="14.25" customHeight="1">
      <c r="C501" s="18"/>
    </row>
    <row r="502" ht="14.25" customHeight="1">
      <c r="C502" s="18"/>
    </row>
    <row r="503" ht="14.25" customHeight="1">
      <c r="C503" s="18"/>
    </row>
    <row r="504" ht="14.25" customHeight="1">
      <c r="C504" s="18"/>
    </row>
    <row r="505" ht="14.25" customHeight="1">
      <c r="C505" s="18"/>
    </row>
    <row r="506" ht="14.25" customHeight="1">
      <c r="C506" s="18"/>
    </row>
    <row r="507" ht="14.25" customHeight="1">
      <c r="C507" s="18"/>
    </row>
    <row r="508" ht="14.25" customHeight="1">
      <c r="C508" s="18"/>
    </row>
    <row r="509" ht="14.25" customHeight="1">
      <c r="C509" s="18"/>
    </row>
    <row r="510" ht="14.25" customHeight="1">
      <c r="C510" s="18"/>
    </row>
    <row r="511" ht="14.25" customHeight="1">
      <c r="C511" s="18"/>
    </row>
    <row r="512" ht="14.25" customHeight="1">
      <c r="C512" s="18"/>
    </row>
    <row r="513" ht="14.25" customHeight="1">
      <c r="C513" s="18"/>
    </row>
    <row r="514" ht="14.25" customHeight="1">
      <c r="C514" s="18"/>
    </row>
    <row r="515" ht="14.25" customHeight="1">
      <c r="C515" s="18"/>
    </row>
    <row r="516" ht="14.25" customHeight="1">
      <c r="C516" s="18"/>
    </row>
    <row r="517" ht="14.25" customHeight="1">
      <c r="C517" s="18"/>
    </row>
    <row r="518" ht="14.25" customHeight="1">
      <c r="C518" s="18"/>
    </row>
    <row r="519" ht="14.25" customHeight="1">
      <c r="C519" s="18"/>
    </row>
    <row r="520" ht="14.25" customHeight="1">
      <c r="C520" s="18"/>
    </row>
    <row r="521" ht="14.25" customHeight="1">
      <c r="C521" s="18"/>
    </row>
    <row r="522" ht="14.25" customHeight="1">
      <c r="C522" s="18"/>
    </row>
    <row r="523" ht="14.25" customHeight="1">
      <c r="C523" s="18"/>
    </row>
    <row r="524" ht="14.25" customHeight="1">
      <c r="C524" s="18"/>
    </row>
    <row r="525" ht="14.25" customHeight="1">
      <c r="C525" s="18"/>
    </row>
    <row r="526" ht="14.25" customHeight="1">
      <c r="C526" s="18"/>
    </row>
    <row r="527" ht="14.25" customHeight="1">
      <c r="C527" s="18"/>
    </row>
    <row r="528" ht="14.25" customHeight="1">
      <c r="C528" s="18"/>
    </row>
    <row r="529" ht="14.25" customHeight="1">
      <c r="C529" s="18"/>
    </row>
    <row r="530" ht="14.25" customHeight="1">
      <c r="C530" s="18"/>
    </row>
    <row r="531" ht="14.25" customHeight="1">
      <c r="C531" s="18"/>
    </row>
    <row r="532" ht="14.25" customHeight="1">
      <c r="C532" s="18"/>
    </row>
    <row r="533" ht="14.25" customHeight="1">
      <c r="C533" s="18"/>
    </row>
    <row r="534" ht="14.25" customHeight="1">
      <c r="C534" s="18"/>
    </row>
    <row r="535" ht="14.25" customHeight="1">
      <c r="C535" s="18"/>
    </row>
    <row r="536" ht="14.25" customHeight="1">
      <c r="C536" s="18"/>
    </row>
    <row r="537" ht="14.25" customHeight="1">
      <c r="C537" s="18"/>
    </row>
    <row r="538" ht="14.25" customHeight="1">
      <c r="C538" s="18"/>
    </row>
    <row r="539" ht="14.25" customHeight="1">
      <c r="C539" s="18"/>
    </row>
    <row r="540" ht="14.25" customHeight="1">
      <c r="C540" s="18"/>
    </row>
    <row r="541" ht="14.25" customHeight="1">
      <c r="C541" s="18"/>
    </row>
    <row r="542" ht="14.25" customHeight="1">
      <c r="C542" s="18"/>
    </row>
    <row r="543" ht="14.25" customHeight="1">
      <c r="C543" s="18"/>
    </row>
    <row r="544" ht="14.25" customHeight="1">
      <c r="C544" s="18"/>
    </row>
    <row r="545" ht="14.25" customHeight="1">
      <c r="C545" s="18"/>
    </row>
    <row r="546" ht="14.25" customHeight="1">
      <c r="C546" s="18"/>
    </row>
    <row r="547" ht="14.25" customHeight="1">
      <c r="C547" s="18"/>
    </row>
    <row r="548" ht="14.25" customHeight="1">
      <c r="C548" s="18"/>
    </row>
    <row r="549" ht="14.25" customHeight="1">
      <c r="C549" s="18"/>
    </row>
    <row r="550" ht="14.25" customHeight="1">
      <c r="C550" s="18"/>
    </row>
    <row r="551" ht="14.25" customHeight="1">
      <c r="C551" s="18"/>
    </row>
    <row r="552" ht="14.25" customHeight="1">
      <c r="C552" s="18"/>
    </row>
    <row r="553" ht="14.25" customHeight="1">
      <c r="C553" s="18"/>
    </row>
    <row r="554" ht="14.25" customHeight="1">
      <c r="C554" s="18"/>
    </row>
    <row r="555" ht="14.25" customHeight="1">
      <c r="C555" s="18"/>
    </row>
    <row r="556" ht="14.25" customHeight="1">
      <c r="C556" s="18"/>
    </row>
    <row r="557" ht="14.25" customHeight="1">
      <c r="C557" s="18"/>
    </row>
    <row r="558" ht="14.25" customHeight="1">
      <c r="C558" s="18"/>
    </row>
    <row r="559" ht="14.25" customHeight="1">
      <c r="C559" s="18"/>
    </row>
    <row r="560" ht="14.25" customHeight="1">
      <c r="C560" s="18"/>
    </row>
    <row r="561" ht="14.25" customHeight="1">
      <c r="C561" s="18"/>
    </row>
    <row r="562" ht="14.25" customHeight="1">
      <c r="C562" s="18"/>
    </row>
    <row r="563" ht="14.25" customHeight="1">
      <c r="C563" s="18"/>
    </row>
    <row r="564" ht="14.25" customHeight="1">
      <c r="C564" s="18"/>
    </row>
    <row r="565" ht="14.25" customHeight="1">
      <c r="C565" s="18"/>
    </row>
    <row r="566" ht="14.25" customHeight="1">
      <c r="C566" s="18"/>
    </row>
    <row r="567" ht="14.25" customHeight="1">
      <c r="C567" s="18"/>
    </row>
    <row r="568" ht="14.25" customHeight="1">
      <c r="C568" s="18"/>
    </row>
    <row r="569" ht="14.25" customHeight="1">
      <c r="C569" s="18"/>
    </row>
    <row r="570" ht="14.25" customHeight="1">
      <c r="C570" s="18"/>
    </row>
    <row r="571" ht="14.25" customHeight="1">
      <c r="C571" s="18"/>
    </row>
    <row r="572" ht="14.25" customHeight="1">
      <c r="C572" s="18"/>
    </row>
    <row r="573" ht="14.25" customHeight="1">
      <c r="C573" s="18"/>
    </row>
    <row r="574" ht="14.25" customHeight="1">
      <c r="C574" s="18"/>
    </row>
    <row r="575" ht="14.25" customHeight="1">
      <c r="C575" s="18"/>
    </row>
    <row r="576" ht="14.25" customHeight="1">
      <c r="C576" s="18"/>
    </row>
    <row r="577" ht="14.25" customHeight="1">
      <c r="C577" s="18"/>
    </row>
    <row r="578" ht="14.25" customHeight="1">
      <c r="C578" s="18"/>
    </row>
    <row r="579" ht="14.25" customHeight="1">
      <c r="C579" s="18"/>
    </row>
    <row r="580" ht="14.25" customHeight="1">
      <c r="C580" s="18"/>
    </row>
    <row r="581" ht="14.25" customHeight="1">
      <c r="C581" s="18"/>
    </row>
    <row r="582" ht="14.25" customHeight="1">
      <c r="C582" s="18"/>
    </row>
    <row r="583" ht="14.25" customHeight="1">
      <c r="C583" s="18"/>
    </row>
    <row r="584" ht="14.25" customHeight="1">
      <c r="C584" s="18"/>
    </row>
    <row r="585" ht="14.25" customHeight="1">
      <c r="C585" s="18"/>
    </row>
    <row r="586" ht="14.25" customHeight="1">
      <c r="C586" s="18"/>
    </row>
    <row r="587" ht="14.25" customHeight="1">
      <c r="C587" s="18"/>
    </row>
    <row r="588" ht="14.25" customHeight="1">
      <c r="C588" s="18"/>
    </row>
    <row r="589" ht="14.25" customHeight="1">
      <c r="C589" s="18"/>
    </row>
    <row r="590" ht="14.25" customHeight="1">
      <c r="C590" s="18"/>
    </row>
    <row r="591" ht="14.25" customHeight="1">
      <c r="C591" s="18"/>
    </row>
    <row r="592" ht="14.25" customHeight="1">
      <c r="C592" s="18"/>
    </row>
    <row r="593" ht="14.25" customHeight="1">
      <c r="C593" s="18"/>
    </row>
    <row r="594" ht="14.25" customHeight="1">
      <c r="C594" s="18"/>
    </row>
    <row r="595" ht="14.25" customHeight="1">
      <c r="C595" s="18"/>
    </row>
    <row r="596" ht="14.25" customHeight="1">
      <c r="C596" s="18"/>
    </row>
    <row r="597" ht="14.25" customHeight="1">
      <c r="C597" s="18"/>
    </row>
    <row r="598" ht="14.25" customHeight="1">
      <c r="C598" s="18"/>
    </row>
    <row r="599" ht="14.25" customHeight="1">
      <c r="C599" s="18"/>
    </row>
    <row r="600" ht="14.25" customHeight="1">
      <c r="C600" s="18"/>
    </row>
    <row r="601" ht="14.25" customHeight="1">
      <c r="C601" s="18"/>
    </row>
    <row r="602" ht="14.25" customHeight="1">
      <c r="C602" s="18"/>
    </row>
    <row r="603" ht="14.25" customHeight="1">
      <c r="C603" s="18"/>
    </row>
    <row r="604" ht="14.25" customHeight="1">
      <c r="C604" s="18"/>
    </row>
    <row r="605" ht="14.25" customHeight="1">
      <c r="C605" s="18"/>
    </row>
    <row r="606" ht="14.25" customHeight="1">
      <c r="C606" s="18"/>
    </row>
    <row r="607" ht="14.25" customHeight="1">
      <c r="C607" s="18"/>
    </row>
    <row r="608" ht="14.25" customHeight="1">
      <c r="C608" s="18"/>
    </row>
    <row r="609" ht="14.25" customHeight="1">
      <c r="C609" s="18"/>
    </row>
    <row r="610" ht="14.25" customHeight="1">
      <c r="C610" s="18"/>
    </row>
    <row r="611" ht="14.25" customHeight="1">
      <c r="C611" s="18"/>
    </row>
    <row r="612" ht="14.25" customHeight="1">
      <c r="C612" s="18"/>
    </row>
    <row r="613" ht="14.25" customHeight="1">
      <c r="C613" s="18"/>
    </row>
    <row r="614" ht="14.25" customHeight="1">
      <c r="C614" s="18"/>
    </row>
    <row r="615" ht="14.25" customHeight="1">
      <c r="C615" s="18"/>
    </row>
    <row r="616" ht="14.25" customHeight="1">
      <c r="C616" s="18"/>
    </row>
    <row r="617" ht="14.25" customHeight="1">
      <c r="C617" s="18"/>
    </row>
    <row r="618" ht="14.25" customHeight="1">
      <c r="C618" s="18"/>
    </row>
    <row r="619" ht="14.25" customHeight="1">
      <c r="C619" s="18"/>
    </row>
    <row r="620" ht="14.25" customHeight="1">
      <c r="C620" s="18"/>
    </row>
    <row r="621" ht="14.25" customHeight="1">
      <c r="C621" s="18"/>
    </row>
    <row r="622" ht="14.25" customHeight="1">
      <c r="C622" s="18"/>
    </row>
    <row r="623" ht="14.25" customHeight="1">
      <c r="C623" s="18"/>
    </row>
    <row r="624" ht="14.25" customHeight="1">
      <c r="C624" s="18"/>
    </row>
    <row r="625" ht="14.25" customHeight="1">
      <c r="C625" s="18"/>
    </row>
    <row r="626" ht="14.25" customHeight="1">
      <c r="C626" s="18"/>
    </row>
    <row r="627" ht="14.25" customHeight="1">
      <c r="C627" s="18"/>
    </row>
    <row r="628" ht="14.25" customHeight="1">
      <c r="C628" s="18"/>
    </row>
    <row r="629" ht="14.25" customHeight="1">
      <c r="C629" s="18"/>
    </row>
    <row r="630" ht="14.25" customHeight="1">
      <c r="C630" s="18"/>
    </row>
    <row r="631" ht="14.25" customHeight="1">
      <c r="C631" s="18"/>
    </row>
    <row r="632" ht="14.25" customHeight="1">
      <c r="C632" s="18"/>
    </row>
    <row r="633" ht="14.25" customHeight="1">
      <c r="C633" s="18"/>
    </row>
    <row r="634" ht="14.25" customHeight="1">
      <c r="C634" s="18"/>
    </row>
    <row r="635" ht="14.25" customHeight="1">
      <c r="C635" s="18"/>
    </row>
    <row r="636" ht="14.25" customHeight="1">
      <c r="C636" s="18"/>
    </row>
    <row r="637" ht="14.25" customHeight="1">
      <c r="C637" s="18"/>
    </row>
    <row r="638" ht="14.25" customHeight="1">
      <c r="C638" s="18"/>
    </row>
    <row r="639" ht="14.25" customHeight="1">
      <c r="C639" s="18"/>
    </row>
    <row r="640" ht="14.25" customHeight="1">
      <c r="C640" s="18"/>
    </row>
    <row r="641" ht="14.25" customHeight="1">
      <c r="C641" s="18"/>
    </row>
    <row r="642" ht="14.25" customHeight="1">
      <c r="C642" s="18"/>
    </row>
    <row r="643" ht="14.25" customHeight="1">
      <c r="C643" s="18"/>
    </row>
    <row r="644" ht="14.25" customHeight="1">
      <c r="C644" s="18"/>
    </row>
    <row r="645" ht="14.25" customHeight="1">
      <c r="C645" s="18"/>
    </row>
    <row r="646" ht="14.25" customHeight="1">
      <c r="C646" s="18"/>
    </row>
    <row r="647" ht="14.25" customHeight="1">
      <c r="C647" s="18"/>
    </row>
    <row r="648" ht="14.25" customHeight="1">
      <c r="C648" s="18"/>
    </row>
    <row r="649" ht="14.25" customHeight="1">
      <c r="C649" s="18"/>
    </row>
    <row r="650" ht="14.25" customHeight="1">
      <c r="C650" s="18"/>
    </row>
    <row r="651" ht="14.25" customHeight="1">
      <c r="C651" s="18"/>
    </row>
    <row r="652" ht="14.25" customHeight="1">
      <c r="C652" s="18"/>
    </row>
    <row r="653" ht="14.25" customHeight="1">
      <c r="C653" s="18"/>
    </row>
    <row r="654" ht="14.25" customHeight="1">
      <c r="C654" s="18"/>
    </row>
    <row r="655" ht="14.25" customHeight="1">
      <c r="C655" s="18"/>
    </row>
    <row r="656" ht="14.25" customHeight="1">
      <c r="C656" s="18"/>
    </row>
    <row r="657" ht="14.25" customHeight="1">
      <c r="C657" s="18"/>
    </row>
    <row r="658" ht="14.25" customHeight="1">
      <c r="C658" s="18"/>
    </row>
    <row r="659" ht="14.25" customHeight="1">
      <c r="C659" s="18"/>
    </row>
    <row r="660" ht="14.25" customHeight="1">
      <c r="C660" s="18"/>
    </row>
    <row r="661" ht="14.25" customHeight="1">
      <c r="C661" s="18"/>
    </row>
    <row r="662" ht="14.25" customHeight="1">
      <c r="C662" s="18"/>
    </row>
    <row r="663" ht="14.25" customHeight="1">
      <c r="C663" s="18"/>
    </row>
    <row r="664" ht="14.25" customHeight="1">
      <c r="C664" s="18"/>
    </row>
    <row r="665" ht="14.25" customHeight="1">
      <c r="C665" s="18"/>
    </row>
    <row r="666" ht="14.25" customHeight="1">
      <c r="C666" s="18"/>
    </row>
    <row r="667" ht="14.25" customHeight="1">
      <c r="C667" s="18"/>
    </row>
    <row r="668" ht="14.25" customHeight="1">
      <c r="C668" s="18"/>
    </row>
    <row r="669" ht="14.25" customHeight="1">
      <c r="C669" s="18"/>
    </row>
    <row r="670" ht="14.25" customHeight="1">
      <c r="C670" s="18"/>
    </row>
    <row r="671" ht="14.25" customHeight="1">
      <c r="C671" s="18"/>
    </row>
    <row r="672" ht="14.25" customHeight="1">
      <c r="C672" s="18"/>
    </row>
    <row r="673" ht="14.25" customHeight="1">
      <c r="C673" s="18"/>
    </row>
    <row r="674" ht="14.25" customHeight="1">
      <c r="C674" s="18"/>
    </row>
    <row r="675" ht="14.25" customHeight="1">
      <c r="C675" s="18"/>
    </row>
    <row r="676" ht="14.25" customHeight="1">
      <c r="C676" s="18"/>
    </row>
    <row r="677" ht="14.25" customHeight="1">
      <c r="C677" s="18"/>
    </row>
    <row r="678" ht="14.25" customHeight="1">
      <c r="C678" s="18"/>
    </row>
    <row r="679" ht="14.25" customHeight="1">
      <c r="C679" s="18"/>
    </row>
    <row r="680" ht="14.25" customHeight="1">
      <c r="C680" s="18"/>
    </row>
    <row r="681" ht="14.25" customHeight="1">
      <c r="C681" s="18"/>
    </row>
    <row r="682" ht="14.25" customHeight="1">
      <c r="C682" s="18"/>
    </row>
    <row r="683" ht="14.25" customHeight="1">
      <c r="C683" s="18"/>
    </row>
    <row r="684" ht="14.25" customHeight="1">
      <c r="C684" s="18"/>
    </row>
    <row r="685" ht="14.25" customHeight="1">
      <c r="C685" s="18"/>
    </row>
    <row r="686" ht="14.25" customHeight="1">
      <c r="C686" s="18"/>
    </row>
    <row r="687" ht="14.25" customHeight="1">
      <c r="C687" s="18"/>
    </row>
    <row r="688" ht="14.25" customHeight="1">
      <c r="C688" s="18"/>
    </row>
    <row r="689" ht="14.25" customHeight="1">
      <c r="C689" s="18"/>
    </row>
    <row r="690" ht="14.25" customHeight="1">
      <c r="C690" s="18"/>
    </row>
    <row r="691" ht="14.25" customHeight="1">
      <c r="C691" s="18"/>
    </row>
    <row r="692" ht="14.25" customHeight="1">
      <c r="C692" s="18"/>
    </row>
    <row r="693" ht="14.25" customHeight="1">
      <c r="C693" s="18"/>
    </row>
    <row r="694" ht="14.25" customHeight="1">
      <c r="C694" s="18"/>
    </row>
    <row r="695" ht="14.25" customHeight="1">
      <c r="C695" s="18"/>
    </row>
    <row r="696" ht="14.25" customHeight="1">
      <c r="C696" s="18"/>
    </row>
    <row r="697" ht="14.25" customHeight="1">
      <c r="C697" s="18"/>
    </row>
    <row r="698" ht="14.25" customHeight="1">
      <c r="C698" s="18"/>
    </row>
    <row r="699" ht="14.25" customHeight="1">
      <c r="C699" s="18"/>
    </row>
    <row r="700" ht="14.25" customHeight="1">
      <c r="C700" s="18"/>
    </row>
    <row r="701" ht="14.25" customHeight="1">
      <c r="C701" s="18"/>
    </row>
    <row r="702" ht="14.25" customHeight="1">
      <c r="C702" s="18"/>
    </row>
    <row r="703" ht="14.25" customHeight="1">
      <c r="C703" s="18"/>
    </row>
    <row r="704" ht="14.25" customHeight="1">
      <c r="C704" s="18"/>
    </row>
    <row r="705" ht="14.25" customHeight="1">
      <c r="C705" s="18"/>
    </row>
    <row r="706" ht="14.25" customHeight="1">
      <c r="C706" s="18"/>
    </row>
    <row r="707" ht="14.25" customHeight="1">
      <c r="C707" s="18"/>
    </row>
    <row r="708" ht="14.25" customHeight="1">
      <c r="C708" s="18"/>
    </row>
    <row r="709" ht="14.25" customHeight="1">
      <c r="C709" s="18"/>
    </row>
    <row r="710" ht="14.25" customHeight="1">
      <c r="C710" s="18"/>
    </row>
    <row r="711" ht="14.25" customHeight="1">
      <c r="C711" s="18"/>
    </row>
    <row r="712" ht="14.25" customHeight="1">
      <c r="C712" s="18"/>
    </row>
    <row r="713" ht="14.25" customHeight="1">
      <c r="C713" s="18"/>
    </row>
    <row r="714" ht="14.25" customHeight="1">
      <c r="C714" s="18"/>
    </row>
    <row r="715" ht="14.25" customHeight="1">
      <c r="C715" s="18"/>
    </row>
    <row r="716" ht="14.25" customHeight="1">
      <c r="C716" s="18"/>
    </row>
    <row r="717" ht="14.25" customHeight="1">
      <c r="C717" s="18"/>
    </row>
    <row r="718" ht="14.25" customHeight="1">
      <c r="C718" s="18"/>
    </row>
    <row r="719" ht="14.25" customHeight="1">
      <c r="C719" s="18"/>
    </row>
    <row r="720" ht="14.25" customHeight="1">
      <c r="C720" s="18"/>
    </row>
    <row r="721" ht="14.25" customHeight="1">
      <c r="C721" s="18"/>
    </row>
    <row r="722" ht="14.25" customHeight="1">
      <c r="C722" s="18"/>
    </row>
    <row r="723" ht="14.25" customHeight="1">
      <c r="C723" s="18"/>
    </row>
    <row r="724" ht="14.25" customHeight="1">
      <c r="C724" s="18"/>
    </row>
    <row r="725" ht="14.25" customHeight="1">
      <c r="C725" s="18"/>
    </row>
    <row r="726" ht="14.25" customHeight="1">
      <c r="C726" s="18"/>
    </row>
    <row r="727" ht="14.25" customHeight="1">
      <c r="C727" s="18"/>
    </row>
    <row r="728" ht="14.25" customHeight="1">
      <c r="C728" s="18"/>
    </row>
    <row r="729" ht="14.25" customHeight="1">
      <c r="C729" s="18"/>
    </row>
    <row r="730" ht="14.25" customHeight="1">
      <c r="C730" s="18"/>
    </row>
    <row r="731" ht="14.25" customHeight="1">
      <c r="C731" s="18"/>
    </row>
    <row r="732" ht="14.25" customHeight="1">
      <c r="C732" s="18"/>
    </row>
    <row r="733" ht="14.25" customHeight="1">
      <c r="C733" s="18"/>
    </row>
    <row r="734" ht="14.25" customHeight="1">
      <c r="C734" s="18"/>
    </row>
    <row r="735" ht="14.25" customHeight="1">
      <c r="C735" s="18"/>
    </row>
    <row r="736" ht="14.25" customHeight="1">
      <c r="C736" s="18"/>
    </row>
    <row r="737" ht="14.25" customHeight="1">
      <c r="C737" s="18"/>
    </row>
    <row r="738" ht="14.25" customHeight="1">
      <c r="C738" s="18"/>
    </row>
    <row r="739" ht="14.25" customHeight="1">
      <c r="C739" s="18"/>
    </row>
    <row r="740" ht="14.25" customHeight="1">
      <c r="C740" s="18"/>
    </row>
    <row r="741" ht="14.25" customHeight="1">
      <c r="C741" s="18"/>
    </row>
    <row r="742" ht="14.25" customHeight="1">
      <c r="C742" s="18"/>
    </row>
    <row r="743" ht="14.25" customHeight="1">
      <c r="C743" s="18"/>
    </row>
    <row r="744" ht="14.25" customHeight="1">
      <c r="C744" s="18"/>
    </row>
    <row r="745" ht="14.25" customHeight="1">
      <c r="C745" s="18"/>
    </row>
    <row r="746" ht="14.25" customHeight="1">
      <c r="C746" s="18"/>
    </row>
    <row r="747" ht="14.25" customHeight="1">
      <c r="C747" s="18"/>
    </row>
    <row r="748" ht="14.25" customHeight="1">
      <c r="C748" s="18"/>
    </row>
    <row r="749" ht="14.25" customHeight="1">
      <c r="C749" s="18"/>
    </row>
    <row r="750" ht="14.25" customHeight="1">
      <c r="C750" s="18"/>
    </row>
    <row r="751" ht="14.25" customHeight="1">
      <c r="C751" s="18"/>
    </row>
    <row r="752" ht="14.25" customHeight="1">
      <c r="C752" s="18"/>
    </row>
    <row r="753" ht="14.25" customHeight="1">
      <c r="C753" s="18"/>
    </row>
    <row r="754" ht="14.25" customHeight="1">
      <c r="C754" s="18"/>
    </row>
    <row r="755" ht="14.25" customHeight="1">
      <c r="C755" s="18"/>
    </row>
    <row r="756" ht="14.25" customHeight="1">
      <c r="C756" s="18"/>
    </row>
    <row r="757" ht="14.25" customHeight="1">
      <c r="C757" s="18"/>
    </row>
    <row r="758" ht="14.25" customHeight="1">
      <c r="C758" s="18"/>
    </row>
    <row r="759" ht="14.25" customHeight="1">
      <c r="C759" s="18"/>
    </row>
    <row r="760" ht="14.25" customHeight="1">
      <c r="C760" s="18"/>
    </row>
    <row r="761" ht="14.25" customHeight="1">
      <c r="C761" s="18"/>
    </row>
    <row r="762" ht="14.25" customHeight="1">
      <c r="C762" s="18"/>
    </row>
    <row r="763" ht="14.25" customHeight="1">
      <c r="C763" s="18"/>
    </row>
    <row r="764" ht="14.25" customHeight="1">
      <c r="C764" s="18"/>
    </row>
    <row r="765" ht="14.25" customHeight="1">
      <c r="C765" s="18"/>
    </row>
    <row r="766" ht="14.25" customHeight="1">
      <c r="C766" s="18"/>
    </row>
    <row r="767" ht="14.25" customHeight="1">
      <c r="C767" s="18"/>
    </row>
    <row r="768" ht="14.25" customHeight="1">
      <c r="C768" s="18"/>
    </row>
    <row r="769" ht="14.25" customHeight="1">
      <c r="C769" s="18"/>
    </row>
    <row r="770" ht="14.25" customHeight="1">
      <c r="C770" s="18"/>
    </row>
    <row r="771" ht="14.25" customHeight="1">
      <c r="C771" s="18"/>
    </row>
    <row r="772" ht="14.25" customHeight="1">
      <c r="C772" s="18"/>
    </row>
    <row r="773" ht="14.25" customHeight="1">
      <c r="C773" s="18"/>
    </row>
    <row r="774" ht="14.25" customHeight="1">
      <c r="C774" s="18"/>
    </row>
    <row r="775" ht="14.25" customHeight="1">
      <c r="C775" s="18"/>
    </row>
    <row r="776" ht="14.25" customHeight="1">
      <c r="C776" s="18"/>
    </row>
    <row r="777" ht="14.25" customHeight="1">
      <c r="C777" s="18"/>
    </row>
    <row r="778" ht="14.25" customHeight="1">
      <c r="C778" s="18"/>
    </row>
    <row r="779" ht="14.25" customHeight="1">
      <c r="C779" s="18"/>
    </row>
    <row r="780" ht="14.25" customHeight="1">
      <c r="C780" s="18"/>
    </row>
    <row r="781" ht="14.25" customHeight="1">
      <c r="C781" s="18"/>
    </row>
    <row r="782" ht="14.25" customHeight="1">
      <c r="C782" s="18"/>
    </row>
    <row r="783" ht="14.25" customHeight="1">
      <c r="C783" s="18"/>
    </row>
    <row r="784" ht="14.25" customHeight="1">
      <c r="C784" s="18"/>
    </row>
    <row r="785" ht="14.25" customHeight="1">
      <c r="C785" s="18"/>
    </row>
    <row r="786" ht="14.25" customHeight="1">
      <c r="C786" s="18"/>
    </row>
    <row r="787" ht="14.25" customHeight="1">
      <c r="C787" s="18"/>
    </row>
    <row r="788" ht="14.25" customHeight="1">
      <c r="C788" s="18"/>
    </row>
    <row r="789" ht="14.25" customHeight="1">
      <c r="C789" s="18"/>
    </row>
    <row r="790" ht="14.25" customHeight="1">
      <c r="C790" s="18"/>
    </row>
    <row r="791" ht="14.25" customHeight="1">
      <c r="C791" s="18"/>
    </row>
    <row r="792" ht="14.25" customHeight="1">
      <c r="C792" s="18"/>
    </row>
    <row r="793" ht="14.25" customHeight="1">
      <c r="C793" s="18"/>
    </row>
    <row r="794" ht="14.25" customHeight="1">
      <c r="C794" s="18"/>
    </row>
    <row r="795" ht="14.25" customHeight="1">
      <c r="C795" s="18"/>
    </row>
    <row r="796" ht="14.25" customHeight="1">
      <c r="C796" s="18"/>
    </row>
    <row r="797" ht="14.25" customHeight="1">
      <c r="C797" s="18"/>
    </row>
    <row r="798" ht="14.25" customHeight="1">
      <c r="C798" s="18"/>
    </row>
    <row r="799" ht="14.25" customHeight="1">
      <c r="C799" s="18"/>
    </row>
    <row r="800" ht="14.25" customHeight="1">
      <c r="C800" s="18"/>
    </row>
    <row r="801" ht="14.25" customHeight="1">
      <c r="C801" s="18"/>
    </row>
    <row r="802" ht="14.25" customHeight="1">
      <c r="C802" s="18"/>
    </row>
    <row r="803" ht="14.25" customHeight="1">
      <c r="C803" s="18"/>
    </row>
    <row r="804" ht="14.25" customHeight="1">
      <c r="C804" s="18"/>
    </row>
    <row r="805" ht="14.25" customHeight="1">
      <c r="C805" s="18"/>
    </row>
    <row r="806" ht="14.25" customHeight="1">
      <c r="C806" s="18"/>
    </row>
    <row r="807" ht="14.25" customHeight="1">
      <c r="C807" s="18"/>
    </row>
    <row r="808" ht="14.25" customHeight="1">
      <c r="C808" s="18"/>
    </row>
    <row r="809" ht="14.25" customHeight="1">
      <c r="C809" s="18"/>
    </row>
    <row r="810" ht="14.25" customHeight="1">
      <c r="C810" s="18"/>
    </row>
    <row r="811" ht="14.25" customHeight="1">
      <c r="C811" s="18"/>
    </row>
    <row r="812" ht="14.25" customHeight="1">
      <c r="C812" s="18"/>
    </row>
    <row r="813" ht="14.25" customHeight="1">
      <c r="C813" s="18"/>
    </row>
    <row r="814" ht="14.25" customHeight="1">
      <c r="C814" s="18"/>
    </row>
    <row r="815" ht="14.25" customHeight="1">
      <c r="C815" s="18"/>
    </row>
    <row r="816" ht="14.25" customHeight="1">
      <c r="C816" s="18"/>
    </row>
    <row r="817" ht="14.25" customHeight="1">
      <c r="C817" s="18"/>
    </row>
    <row r="818" ht="14.25" customHeight="1">
      <c r="C818" s="18"/>
    </row>
    <row r="819" ht="14.25" customHeight="1">
      <c r="C819" s="18"/>
    </row>
    <row r="820" ht="14.25" customHeight="1">
      <c r="C820" s="18"/>
    </row>
    <row r="821" ht="14.25" customHeight="1">
      <c r="C821" s="18"/>
    </row>
    <row r="822" ht="14.25" customHeight="1">
      <c r="C822" s="18"/>
    </row>
    <row r="823" ht="14.25" customHeight="1">
      <c r="C823" s="18"/>
    </row>
    <row r="824" ht="14.25" customHeight="1">
      <c r="C824" s="18"/>
    </row>
    <row r="825" ht="14.25" customHeight="1">
      <c r="C825" s="18"/>
    </row>
    <row r="826" ht="14.25" customHeight="1">
      <c r="C826" s="18"/>
    </row>
    <row r="827" ht="14.25" customHeight="1">
      <c r="C827" s="18"/>
    </row>
    <row r="828" ht="14.25" customHeight="1">
      <c r="C828" s="18"/>
    </row>
    <row r="829" ht="14.25" customHeight="1">
      <c r="C829" s="18"/>
    </row>
    <row r="830" ht="14.25" customHeight="1">
      <c r="C830" s="18"/>
    </row>
    <row r="831" ht="14.25" customHeight="1">
      <c r="C831" s="18"/>
    </row>
    <row r="832" ht="14.25" customHeight="1">
      <c r="C832" s="18"/>
    </row>
    <row r="833" ht="14.25" customHeight="1">
      <c r="C833" s="18"/>
    </row>
    <row r="834" ht="14.25" customHeight="1">
      <c r="C834" s="18"/>
    </row>
    <row r="835" ht="14.25" customHeight="1">
      <c r="C835" s="18"/>
    </row>
    <row r="836" ht="14.25" customHeight="1">
      <c r="C836" s="18"/>
    </row>
    <row r="837" ht="14.25" customHeight="1">
      <c r="C837" s="18"/>
    </row>
    <row r="838" ht="14.25" customHeight="1">
      <c r="C838" s="18"/>
    </row>
    <row r="839" ht="14.25" customHeight="1">
      <c r="C839" s="18"/>
    </row>
    <row r="840" ht="14.25" customHeight="1">
      <c r="C840" s="18"/>
    </row>
    <row r="841" ht="14.25" customHeight="1">
      <c r="C841" s="18"/>
    </row>
    <row r="842" ht="14.25" customHeight="1">
      <c r="C842" s="18"/>
    </row>
    <row r="843" ht="14.25" customHeight="1">
      <c r="C843" s="18"/>
    </row>
    <row r="844" ht="14.25" customHeight="1">
      <c r="C844" s="18"/>
    </row>
    <row r="845" ht="14.25" customHeight="1">
      <c r="C845" s="18"/>
    </row>
    <row r="846" ht="14.25" customHeight="1">
      <c r="C846" s="18"/>
    </row>
    <row r="847" ht="14.25" customHeight="1">
      <c r="C847" s="18"/>
    </row>
    <row r="848" ht="14.25" customHeight="1">
      <c r="C848" s="18"/>
    </row>
    <row r="849" ht="14.25" customHeight="1">
      <c r="C849" s="18"/>
    </row>
    <row r="850" ht="14.25" customHeight="1">
      <c r="C850" s="18"/>
    </row>
    <row r="851" ht="14.25" customHeight="1">
      <c r="C851" s="18"/>
    </row>
    <row r="852" ht="14.25" customHeight="1">
      <c r="C852" s="18"/>
    </row>
    <row r="853" ht="14.25" customHeight="1">
      <c r="C853" s="18"/>
    </row>
    <row r="854" ht="14.25" customHeight="1">
      <c r="C854" s="18"/>
    </row>
    <row r="855" ht="14.25" customHeight="1">
      <c r="C855" s="18"/>
    </row>
    <row r="856" ht="14.25" customHeight="1">
      <c r="C856" s="18"/>
    </row>
    <row r="857" ht="14.25" customHeight="1">
      <c r="C857" s="18"/>
    </row>
    <row r="858" ht="14.25" customHeight="1">
      <c r="C858" s="18"/>
    </row>
    <row r="859" ht="14.25" customHeight="1">
      <c r="C859" s="18"/>
    </row>
    <row r="860" ht="14.25" customHeight="1">
      <c r="C860" s="18"/>
    </row>
    <row r="861" ht="14.25" customHeight="1">
      <c r="C861" s="18"/>
    </row>
    <row r="862" ht="14.25" customHeight="1">
      <c r="C862" s="18"/>
    </row>
    <row r="863" ht="14.25" customHeight="1">
      <c r="C863" s="18"/>
    </row>
    <row r="864" ht="14.25" customHeight="1">
      <c r="C864" s="18"/>
    </row>
    <row r="865" ht="14.25" customHeight="1">
      <c r="C865" s="18"/>
    </row>
    <row r="866" ht="14.25" customHeight="1">
      <c r="C866" s="18"/>
    </row>
    <row r="867" ht="14.25" customHeight="1">
      <c r="C867" s="18"/>
    </row>
    <row r="868" ht="14.25" customHeight="1">
      <c r="C868" s="18"/>
    </row>
    <row r="869" ht="14.25" customHeight="1">
      <c r="C869" s="18"/>
    </row>
    <row r="870" ht="14.25" customHeight="1">
      <c r="C870" s="18"/>
    </row>
    <row r="871" ht="14.25" customHeight="1">
      <c r="C871" s="18"/>
    </row>
    <row r="872" ht="14.25" customHeight="1">
      <c r="C872" s="18"/>
    </row>
    <row r="873" ht="14.25" customHeight="1">
      <c r="C873" s="18"/>
    </row>
    <row r="874" ht="14.25" customHeight="1">
      <c r="C874" s="18"/>
    </row>
    <row r="875" ht="14.25" customHeight="1">
      <c r="C875" s="18"/>
    </row>
    <row r="876" ht="14.25" customHeight="1">
      <c r="C876" s="18"/>
    </row>
    <row r="877" ht="14.25" customHeight="1">
      <c r="C877" s="18"/>
    </row>
    <row r="878" ht="14.25" customHeight="1">
      <c r="C878" s="18"/>
    </row>
    <row r="879" ht="14.25" customHeight="1">
      <c r="C879" s="18"/>
    </row>
    <row r="880" ht="14.25" customHeight="1">
      <c r="C880" s="18"/>
    </row>
    <row r="881" ht="14.25" customHeight="1">
      <c r="C881" s="18"/>
    </row>
    <row r="882" ht="14.25" customHeight="1">
      <c r="C882" s="18"/>
    </row>
    <row r="883" ht="14.25" customHeight="1">
      <c r="C883" s="18"/>
    </row>
    <row r="884" ht="14.25" customHeight="1">
      <c r="C884" s="18"/>
    </row>
    <row r="885" ht="14.25" customHeight="1">
      <c r="C885" s="18"/>
    </row>
    <row r="886" ht="14.25" customHeight="1">
      <c r="C886" s="18"/>
    </row>
    <row r="887" ht="14.25" customHeight="1">
      <c r="C887" s="18"/>
    </row>
    <row r="888" ht="14.25" customHeight="1">
      <c r="C888" s="18"/>
    </row>
    <row r="889" ht="14.25" customHeight="1">
      <c r="C889" s="18"/>
    </row>
    <row r="890" ht="14.25" customHeight="1">
      <c r="C890" s="18"/>
    </row>
    <row r="891" ht="14.25" customHeight="1">
      <c r="C891" s="18"/>
    </row>
    <row r="892" ht="14.25" customHeight="1">
      <c r="C892" s="18"/>
    </row>
    <row r="893" ht="14.25" customHeight="1">
      <c r="C893" s="18"/>
    </row>
    <row r="894" ht="14.25" customHeight="1">
      <c r="C894" s="18"/>
    </row>
    <row r="895" ht="14.25" customHeight="1">
      <c r="C895" s="18"/>
    </row>
    <row r="896" ht="14.25" customHeight="1">
      <c r="C896" s="18"/>
    </row>
    <row r="897" ht="14.25" customHeight="1">
      <c r="C897" s="18"/>
    </row>
    <row r="898" ht="14.25" customHeight="1">
      <c r="C898" s="18"/>
    </row>
    <row r="899" ht="14.25" customHeight="1">
      <c r="C899" s="18"/>
    </row>
    <row r="900" ht="14.25" customHeight="1">
      <c r="C900" s="18"/>
    </row>
    <row r="901" ht="14.25" customHeight="1">
      <c r="C901" s="18"/>
    </row>
    <row r="902" ht="14.25" customHeight="1">
      <c r="C902" s="18"/>
    </row>
    <row r="903" ht="14.25" customHeight="1">
      <c r="C903" s="18"/>
    </row>
    <row r="904" ht="14.25" customHeight="1">
      <c r="C904" s="18"/>
    </row>
    <row r="905" ht="14.25" customHeight="1">
      <c r="C905" s="18"/>
    </row>
    <row r="906" ht="14.25" customHeight="1">
      <c r="C906" s="18"/>
    </row>
    <row r="907" ht="14.25" customHeight="1">
      <c r="C907" s="18"/>
    </row>
    <row r="908" ht="14.25" customHeight="1">
      <c r="C908" s="18"/>
    </row>
    <row r="909" ht="14.25" customHeight="1">
      <c r="C909" s="18"/>
    </row>
    <row r="910" ht="14.25" customHeight="1">
      <c r="C910" s="18"/>
    </row>
    <row r="911" ht="14.25" customHeight="1">
      <c r="C911" s="18"/>
    </row>
    <row r="912" ht="14.25" customHeight="1">
      <c r="C912" s="18"/>
    </row>
    <row r="913" ht="14.25" customHeight="1">
      <c r="C913" s="18"/>
    </row>
    <row r="914" ht="14.25" customHeight="1">
      <c r="C914" s="18"/>
    </row>
    <row r="915" ht="14.25" customHeight="1">
      <c r="C915" s="18"/>
    </row>
    <row r="916" ht="14.25" customHeight="1">
      <c r="C916" s="18"/>
    </row>
    <row r="917" ht="14.25" customHeight="1">
      <c r="C917" s="18"/>
    </row>
    <row r="918" ht="14.25" customHeight="1">
      <c r="C918" s="18"/>
    </row>
    <row r="919" ht="14.25" customHeight="1">
      <c r="C919" s="18"/>
    </row>
    <row r="920" ht="14.25" customHeight="1">
      <c r="C920" s="18"/>
    </row>
    <row r="921" ht="14.25" customHeight="1">
      <c r="C921" s="18"/>
    </row>
    <row r="922" ht="14.25" customHeight="1">
      <c r="C922" s="18"/>
    </row>
    <row r="923" ht="14.25" customHeight="1">
      <c r="C923" s="18"/>
    </row>
    <row r="924" ht="14.25" customHeight="1">
      <c r="C924" s="18"/>
    </row>
    <row r="925" ht="14.25" customHeight="1">
      <c r="C925" s="18"/>
    </row>
    <row r="926" ht="14.25" customHeight="1">
      <c r="C926" s="18"/>
    </row>
    <row r="927" ht="14.25" customHeight="1">
      <c r="C927" s="18"/>
    </row>
    <row r="928" ht="14.25" customHeight="1">
      <c r="C928" s="18"/>
    </row>
    <row r="929" ht="14.25" customHeight="1">
      <c r="C929" s="18"/>
    </row>
    <row r="930" ht="14.25" customHeight="1">
      <c r="C930" s="18"/>
    </row>
    <row r="931" ht="14.25" customHeight="1">
      <c r="C931" s="18"/>
    </row>
    <row r="932" ht="14.25" customHeight="1">
      <c r="C932" s="18"/>
    </row>
    <row r="933" ht="14.25" customHeight="1">
      <c r="C933" s="18"/>
    </row>
    <row r="934" ht="14.25" customHeight="1">
      <c r="C934" s="18"/>
    </row>
    <row r="935" ht="14.25" customHeight="1">
      <c r="C935" s="18"/>
    </row>
    <row r="936" ht="14.25" customHeight="1">
      <c r="C936" s="18"/>
    </row>
    <row r="937" ht="14.25" customHeight="1">
      <c r="C937" s="18"/>
    </row>
    <row r="938" ht="14.25" customHeight="1">
      <c r="C938" s="18"/>
    </row>
    <row r="939" ht="14.25" customHeight="1">
      <c r="C939" s="18"/>
    </row>
    <row r="940" ht="14.25" customHeight="1">
      <c r="C940" s="18"/>
    </row>
    <row r="941" ht="14.25" customHeight="1">
      <c r="C941" s="18"/>
    </row>
    <row r="942" ht="14.25" customHeight="1">
      <c r="C942" s="18"/>
    </row>
    <row r="943" ht="14.25" customHeight="1">
      <c r="C943" s="18"/>
    </row>
    <row r="944" ht="14.25" customHeight="1">
      <c r="C944" s="18"/>
    </row>
    <row r="945" ht="14.25" customHeight="1">
      <c r="C945" s="18"/>
    </row>
    <row r="946" ht="14.25" customHeight="1">
      <c r="C946" s="18"/>
    </row>
    <row r="947" ht="14.25" customHeight="1">
      <c r="C947" s="18"/>
    </row>
    <row r="948" ht="14.25" customHeight="1">
      <c r="C948" s="18"/>
    </row>
    <row r="949" ht="14.25" customHeight="1">
      <c r="C949" s="18"/>
    </row>
    <row r="950" ht="14.25" customHeight="1">
      <c r="C950" s="18"/>
    </row>
    <row r="951" ht="14.25" customHeight="1">
      <c r="C951" s="18"/>
    </row>
    <row r="952" ht="14.25" customHeight="1">
      <c r="C952" s="18"/>
    </row>
    <row r="953" ht="14.25" customHeight="1">
      <c r="C953" s="18"/>
    </row>
    <row r="954" ht="14.25" customHeight="1">
      <c r="C954" s="18"/>
    </row>
    <row r="955" ht="14.25" customHeight="1">
      <c r="C955" s="18"/>
    </row>
    <row r="956" ht="14.25" customHeight="1">
      <c r="C956" s="18"/>
    </row>
    <row r="957" ht="14.25" customHeight="1">
      <c r="C957" s="18"/>
    </row>
    <row r="958" ht="14.25" customHeight="1">
      <c r="C958" s="18"/>
    </row>
    <row r="959" ht="14.25" customHeight="1">
      <c r="C959" s="18"/>
    </row>
    <row r="960" ht="14.25" customHeight="1">
      <c r="C960" s="18"/>
    </row>
    <row r="961" ht="14.25" customHeight="1">
      <c r="C961" s="18"/>
    </row>
    <row r="962" ht="14.25" customHeight="1">
      <c r="C962" s="18"/>
    </row>
    <row r="963" ht="14.25" customHeight="1">
      <c r="C963" s="18"/>
    </row>
    <row r="964" ht="14.25" customHeight="1">
      <c r="C964" s="18"/>
    </row>
    <row r="965" ht="14.25" customHeight="1">
      <c r="C965" s="18"/>
    </row>
    <row r="966" ht="14.25" customHeight="1">
      <c r="C966" s="18"/>
    </row>
    <row r="967" ht="14.25" customHeight="1">
      <c r="C967" s="18"/>
    </row>
    <row r="968" ht="14.25" customHeight="1">
      <c r="C968" s="18"/>
    </row>
    <row r="969" ht="14.25" customHeight="1">
      <c r="C969" s="18"/>
    </row>
    <row r="970" ht="14.25" customHeight="1">
      <c r="C970" s="18"/>
    </row>
    <row r="971" ht="14.25" customHeight="1">
      <c r="C971" s="18"/>
    </row>
    <row r="972" ht="14.25" customHeight="1">
      <c r="C972" s="18"/>
    </row>
    <row r="973" ht="14.25" customHeight="1">
      <c r="C973" s="18"/>
    </row>
    <row r="974" ht="14.25" customHeight="1">
      <c r="C974" s="18"/>
    </row>
    <row r="975" ht="14.25" customHeight="1">
      <c r="C975" s="18"/>
    </row>
    <row r="976" ht="14.25" customHeight="1">
      <c r="C976" s="18"/>
    </row>
    <row r="977" ht="14.25" customHeight="1">
      <c r="C977" s="18"/>
    </row>
    <row r="978" ht="14.25" customHeight="1">
      <c r="C978" s="18"/>
    </row>
    <row r="979" ht="14.25" customHeight="1">
      <c r="C979" s="18"/>
    </row>
    <row r="980" ht="14.25" customHeight="1">
      <c r="C980" s="18"/>
    </row>
    <row r="981" ht="14.25" customHeight="1">
      <c r="C981" s="18"/>
    </row>
    <row r="982" ht="14.25" customHeight="1">
      <c r="C982" s="18"/>
    </row>
    <row r="983" ht="14.25" customHeight="1">
      <c r="C983" s="18"/>
    </row>
    <row r="984" ht="14.25" customHeight="1">
      <c r="C984" s="18"/>
    </row>
    <row r="985" ht="14.25" customHeight="1">
      <c r="C985" s="18"/>
    </row>
    <row r="986" ht="14.25" customHeight="1">
      <c r="C986" s="18"/>
    </row>
    <row r="987" ht="14.25" customHeight="1">
      <c r="C987" s="18"/>
    </row>
    <row r="988" ht="14.25" customHeight="1">
      <c r="C988" s="18"/>
    </row>
    <row r="989" ht="14.25" customHeight="1">
      <c r="C989" s="18"/>
    </row>
    <row r="990" ht="14.25" customHeight="1">
      <c r="C990" s="18"/>
    </row>
    <row r="991" ht="14.25" customHeight="1">
      <c r="C991" s="18"/>
    </row>
    <row r="992" ht="14.25" customHeight="1">
      <c r="C992" s="18"/>
    </row>
    <row r="993" ht="14.25" customHeight="1">
      <c r="C993" s="18"/>
    </row>
    <row r="994" ht="14.25" customHeight="1">
      <c r="C994" s="18"/>
    </row>
    <row r="995" ht="14.25" customHeight="1">
      <c r="C995" s="18"/>
    </row>
    <row r="996" ht="14.25" customHeight="1">
      <c r="C996" s="18"/>
    </row>
    <row r="997" ht="14.25" customHeight="1">
      <c r="C997" s="18"/>
    </row>
    <row r="998" ht="14.25" customHeight="1">
      <c r="C998" s="18"/>
    </row>
    <row r="999" ht="14.25" customHeight="1">
      <c r="C999" s="18"/>
    </row>
    <row r="1000" ht="14.25" customHeight="1">
      <c r="C1000" s="18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0.0"/>
    <col customWidth="1" min="3" max="3" width="15.0"/>
    <col customWidth="1" min="4" max="4" width="20.0"/>
    <col customWidth="1" min="5" max="26" width="8.75"/>
  </cols>
  <sheetData>
    <row r="1" ht="23.25" customHeight="1">
      <c r="A1" s="1" t="s">
        <v>78</v>
      </c>
    </row>
    <row r="2" ht="14.25" customHeight="1"/>
    <row r="3" ht="15.75" customHeight="1">
      <c r="A3" s="20" t="s">
        <v>79</v>
      </c>
      <c r="B3" s="20" t="s">
        <v>80</v>
      </c>
      <c r="C3" s="20" t="s">
        <v>81</v>
      </c>
      <c r="D3" s="20" t="s">
        <v>82</v>
      </c>
    </row>
    <row r="4" ht="14.25" customHeight="1">
      <c r="A4" s="21">
        <v>46127.0</v>
      </c>
      <c r="B4" s="8" t="s">
        <v>83</v>
      </c>
      <c r="C4" s="5">
        <v>16500.0</v>
      </c>
      <c r="D4" s="8" t="str">
        <f t="shared" ref="D4:D7" si="1">TEXT(A4, "MMMM-YYYY")</f>
        <v>abril-2026</v>
      </c>
    </row>
    <row r="5" ht="14.25" customHeight="1">
      <c r="A5" s="21">
        <v>46127.0</v>
      </c>
      <c r="B5" s="8" t="s">
        <v>84</v>
      </c>
      <c r="C5" s="5">
        <v>7000.0</v>
      </c>
      <c r="D5" s="8" t="str">
        <f t="shared" si="1"/>
        <v>abril-2026</v>
      </c>
    </row>
    <row r="6" ht="14.25" customHeight="1">
      <c r="A6" s="21">
        <v>46127.0</v>
      </c>
      <c r="B6" s="8" t="s">
        <v>85</v>
      </c>
      <c r="C6" s="5">
        <v>8000.0</v>
      </c>
      <c r="D6" s="8" t="str">
        <f t="shared" si="1"/>
        <v>abril-2026</v>
      </c>
    </row>
    <row r="7" ht="14.25" customHeight="1">
      <c r="A7" s="21">
        <v>46127.0</v>
      </c>
      <c r="B7" s="8" t="s">
        <v>86</v>
      </c>
      <c r="C7" s="5">
        <v>18600.0</v>
      </c>
      <c r="D7" s="8" t="str">
        <f t="shared" si="1"/>
        <v>abril-2026</v>
      </c>
    </row>
    <row r="8" ht="14.25" customHeight="1">
      <c r="A8" s="21">
        <v>46132.0</v>
      </c>
      <c r="B8" s="8" t="s">
        <v>87</v>
      </c>
      <c r="C8" s="5">
        <v>7789.0</v>
      </c>
      <c r="D8" s="22" t="str">
        <f t="shared" ref="D8:D57" si="2">IF(A8&lt;&gt;"", TEXT(A8, "MMMM-YYYY"), "")</f>
        <v>abril-2026</v>
      </c>
    </row>
    <row r="9" ht="14.25" customHeight="1">
      <c r="A9" s="23">
        <v>46137.0</v>
      </c>
      <c r="B9" s="24" t="s">
        <v>88</v>
      </c>
      <c r="C9" s="5">
        <v>44490.0</v>
      </c>
      <c r="D9" s="22" t="str">
        <f t="shared" si="2"/>
        <v>abril-2026</v>
      </c>
    </row>
    <row r="10" ht="14.25" customHeight="1">
      <c r="A10" s="23">
        <v>46137.0</v>
      </c>
      <c r="B10" s="24" t="s">
        <v>89</v>
      </c>
      <c r="C10" s="5">
        <v>11000.0</v>
      </c>
      <c r="D10" s="22" t="str">
        <f t="shared" si="2"/>
        <v>abril-2026</v>
      </c>
    </row>
    <row r="11" ht="14.25" customHeight="1">
      <c r="A11" s="23">
        <v>46147.0</v>
      </c>
      <c r="B11" s="24" t="s">
        <v>90</v>
      </c>
      <c r="C11" s="25">
        <v>2950.0</v>
      </c>
      <c r="D11" s="22" t="str">
        <f t="shared" si="2"/>
        <v>mayo-2026</v>
      </c>
    </row>
    <row r="12" ht="14.25" customHeight="1">
      <c r="A12" s="23">
        <v>46147.0</v>
      </c>
      <c r="B12" s="24" t="s">
        <v>85</v>
      </c>
      <c r="C12" s="25">
        <v>8000.0</v>
      </c>
      <c r="D12" s="22" t="str">
        <f t="shared" si="2"/>
        <v>mayo-2026</v>
      </c>
    </row>
    <row r="13" ht="14.25" customHeight="1">
      <c r="A13" s="23">
        <v>46147.0</v>
      </c>
      <c r="B13" s="8" t="s">
        <v>86</v>
      </c>
      <c r="C13" s="5">
        <v>18600.0</v>
      </c>
      <c r="D13" s="22" t="str">
        <f t="shared" si="2"/>
        <v>mayo-2026</v>
      </c>
    </row>
    <row r="14" ht="14.25" customHeight="1">
      <c r="D14" s="17" t="str">
        <f t="shared" si="2"/>
        <v/>
      </c>
    </row>
    <row r="15" ht="14.25" customHeight="1">
      <c r="D15" s="17" t="str">
        <f t="shared" si="2"/>
        <v/>
      </c>
    </row>
    <row r="16" ht="14.25" customHeight="1">
      <c r="D16" s="17" t="str">
        <f t="shared" si="2"/>
        <v/>
      </c>
    </row>
    <row r="17" ht="14.25" customHeight="1">
      <c r="D17" s="17" t="str">
        <f t="shared" si="2"/>
        <v/>
      </c>
    </row>
    <row r="18" ht="14.25" customHeight="1">
      <c r="D18" s="17" t="str">
        <f t="shared" si="2"/>
        <v/>
      </c>
    </row>
    <row r="19" ht="14.25" customHeight="1">
      <c r="D19" s="17" t="str">
        <f t="shared" si="2"/>
        <v/>
      </c>
    </row>
    <row r="20" ht="14.25" customHeight="1">
      <c r="D20" s="17" t="str">
        <f t="shared" si="2"/>
        <v/>
      </c>
    </row>
    <row r="21" ht="14.25" customHeight="1">
      <c r="D21" s="17" t="str">
        <f t="shared" si="2"/>
        <v/>
      </c>
    </row>
    <row r="22" ht="14.25" customHeight="1">
      <c r="D22" s="17" t="str">
        <f t="shared" si="2"/>
        <v/>
      </c>
    </row>
    <row r="23" ht="14.25" customHeight="1">
      <c r="D23" s="17" t="str">
        <f t="shared" si="2"/>
        <v/>
      </c>
    </row>
    <row r="24" ht="14.25" customHeight="1">
      <c r="D24" s="17" t="str">
        <f t="shared" si="2"/>
        <v/>
      </c>
    </row>
    <row r="25" ht="14.25" customHeight="1">
      <c r="D25" s="17" t="str">
        <f t="shared" si="2"/>
        <v/>
      </c>
    </row>
    <row r="26" ht="14.25" customHeight="1">
      <c r="D26" s="17" t="str">
        <f t="shared" si="2"/>
        <v/>
      </c>
    </row>
    <row r="27" ht="14.25" customHeight="1">
      <c r="D27" s="17" t="str">
        <f t="shared" si="2"/>
        <v/>
      </c>
    </row>
    <row r="28" ht="14.25" customHeight="1">
      <c r="D28" s="17" t="str">
        <f t="shared" si="2"/>
        <v/>
      </c>
    </row>
    <row r="29" ht="14.25" customHeight="1">
      <c r="D29" s="17" t="str">
        <f t="shared" si="2"/>
        <v/>
      </c>
    </row>
    <row r="30" ht="14.25" customHeight="1">
      <c r="D30" s="17" t="str">
        <f t="shared" si="2"/>
        <v/>
      </c>
    </row>
    <row r="31" ht="14.25" customHeight="1">
      <c r="D31" s="17" t="str">
        <f t="shared" si="2"/>
        <v/>
      </c>
    </row>
    <row r="32" ht="14.25" customHeight="1">
      <c r="D32" s="17" t="str">
        <f t="shared" si="2"/>
        <v/>
      </c>
    </row>
    <row r="33" ht="14.25" customHeight="1">
      <c r="D33" s="17" t="str">
        <f t="shared" si="2"/>
        <v/>
      </c>
    </row>
    <row r="34" ht="14.25" customHeight="1">
      <c r="D34" s="17" t="str">
        <f t="shared" si="2"/>
        <v/>
      </c>
    </row>
    <row r="35" ht="14.25" customHeight="1">
      <c r="D35" s="17" t="str">
        <f t="shared" si="2"/>
        <v/>
      </c>
    </row>
    <row r="36" ht="14.25" customHeight="1">
      <c r="D36" s="17" t="str">
        <f t="shared" si="2"/>
        <v/>
      </c>
    </row>
    <row r="37" ht="14.25" customHeight="1">
      <c r="D37" s="17" t="str">
        <f t="shared" si="2"/>
        <v/>
      </c>
    </row>
    <row r="38" ht="14.25" customHeight="1">
      <c r="D38" s="17" t="str">
        <f t="shared" si="2"/>
        <v/>
      </c>
    </row>
    <row r="39" ht="14.25" customHeight="1">
      <c r="D39" s="17" t="str">
        <f t="shared" si="2"/>
        <v/>
      </c>
    </row>
    <row r="40" ht="14.25" customHeight="1">
      <c r="D40" s="17" t="str">
        <f t="shared" si="2"/>
        <v/>
      </c>
    </row>
    <row r="41" ht="14.25" customHeight="1">
      <c r="D41" s="17" t="str">
        <f t="shared" si="2"/>
        <v/>
      </c>
    </row>
    <row r="42" ht="14.25" customHeight="1">
      <c r="D42" s="17" t="str">
        <f t="shared" si="2"/>
        <v/>
      </c>
    </row>
    <row r="43" ht="14.25" customHeight="1">
      <c r="D43" s="17" t="str">
        <f t="shared" si="2"/>
        <v/>
      </c>
    </row>
    <row r="44" ht="14.25" customHeight="1">
      <c r="D44" s="17" t="str">
        <f t="shared" si="2"/>
        <v/>
      </c>
    </row>
    <row r="45" ht="14.25" customHeight="1">
      <c r="D45" s="17" t="str">
        <f t="shared" si="2"/>
        <v/>
      </c>
    </row>
    <row r="46" ht="14.25" customHeight="1">
      <c r="D46" s="17" t="str">
        <f t="shared" si="2"/>
        <v/>
      </c>
    </row>
    <row r="47" ht="14.25" customHeight="1">
      <c r="D47" s="17" t="str">
        <f t="shared" si="2"/>
        <v/>
      </c>
    </row>
    <row r="48" ht="14.25" customHeight="1">
      <c r="D48" s="17" t="str">
        <f t="shared" si="2"/>
        <v/>
      </c>
    </row>
    <row r="49" ht="14.25" customHeight="1">
      <c r="D49" s="17" t="str">
        <f t="shared" si="2"/>
        <v/>
      </c>
    </row>
    <row r="50" ht="14.25" customHeight="1">
      <c r="D50" s="17" t="str">
        <f t="shared" si="2"/>
        <v/>
      </c>
    </row>
    <row r="51" ht="14.25" customHeight="1">
      <c r="D51" s="17" t="str">
        <f t="shared" si="2"/>
        <v/>
      </c>
    </row>
    <row r="52" ht="14.25" customHeight="1">
      <c r="D52" s="17" t="str">
        <f t="shared" si="2"/>
        <v/>
      </c>
    </row>
    <row r="53" ht="14.25" customHeight="1">
      <c r="D53" s="17" t="str">
        <f t="shared" si="2"/>
        <v/>
      </c>
    </row>
    <row r="54" ht="14.25" customHeight="1">
      <c r="D54" s="17" t="str">
        <f t="shared" si="2"/>
        <v/>
      </c>
    </row>
    <row r="55" ht="14.25" customHeight="1">
      <c r="D55" s="17" t="str">
        <f t="shared" si="2"/>
        <v/>
      </c>
    </row>
    <row r="56" ht="14.25" customHeight="1">
      <c r="D56" s="17" t="str">
        <f t="shared" si="2"/>
        <v/>
      </c>
    </row>
    <row r="57" ht="14.25" customHeight="1">
      <c r="D57" s="17" t="str">
        <f t="shared" si="2"/>
        <v/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6" width="10.63"/>
  </cols>
  <sheetData>
    <row r="1" ht="14.25" customHeight="1"/>
    <row r="2" ht="14.25" customHeight="1">
      <c r="A2" s="17" t="s">
        <v>91</v>
      </c>
      <c r="B2" s="17" t="s">
        <v>92</v>
      </c>
    </row>
    <row r="3" ht="14.25" customHeight="1">
      <c r="A3" s="17" t="s">
        <v>93</v>
      </c>
      <c r="B3" s="17" t="s">
        <v>94</v>
      </c>
    </row>
    <row r="4" ht="14.25" customHeight="1">
      <c r="A4" s="17" t="s">
        <v>95</v>
      </c>
      <c r="B4" s="17" t="s">
        <v>96</v>
      </c>
    </row>
    <row r="5" ht="14.25" customHeight="1">
      <c r="A5" s="17" t="s">
        <v>97</v>
      </c>
      <c r="B5" s="17" t="s">
        <v>98</v>
      </c>
    </row>
    <row r="6" ht="14.25" customHeight="1">
      <c r="A6" s="17" t="s">
        <v>99</v>
      </c>
      <c r="B6" s="17" t="s">
        <v>100</v>
      </c>
    </row>
    <row r="7" ht="14.25" customHeight="1">
      <c r="A7" s="17" t="s">
        <v>101</v>
      </c>
      <c r="B7" s="17" t="s">
        <v>102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1.88"/>
    <col customWidth="1" min="3" max="3" width="38.88"/>
    <col customWidth="1" min="4" max="5" width="10.63"/>
    <col customWidth="1" min="6" max="6" width="16.13"/>
    <col customWidth="1" min="7" max="7" width="17.38"/>
    <col customWidth="1" min="8" max="8" width="10.63"/>
    <col customWidth="1" hidden="1" min="9" max="9" width="10.63"/>
    <col customWidth="1" hidden="1" min="10" max="10" width="22.0"/>
    <col customWidth="1" hidden="1" min="11" max="11" width="15.88"/>
    <col customWidth="1" hidden="1" min="12" max="12" width="14.38"/>
    <col customWidth="1" min="13" max="13" width="11.0"/>
    <col customWidth="1" min="14" max="26" width="10.63"/>
  </cols>
  <sheetData>
    <row r="1" ht="14.25" customHeight="1">
      <c r="A1" s="17" t="s">
        <v>103</v>
      </c>
      <c r="B1" s="26" t="s">
        <v>104</v>
      </c>
      <c r="C1" s="17" t="s">
        <v>105</v>
      </c>
      <c r="D1" s="17" t="s">
        <v>106</v>
      </c>
      <c r="E1" s="17" t="s">
        <v>107</v>
      </c>
      <c r="F1" s="27" t="s">
        <v>108</v>
      </c>
      <c r="G1" s="28" t="s">
        <v>109</v>
      </c>
      <c r="H1" s="17" t="s">
        <v>110</v>
      </c>
      <c r="I1" s="17" t="s">
        <v>111</v>
      </c>
      <c r="J1" s="17" t="s">
        <v>112</v>
      </c>
      <c r="K1" s="27" t="s">
        <v>113</v>
      </c>
      <c r="L1" s="29" t="s">
        <v>114</v>
      </c>
      <c r="M1" s="17" t="s">
        <v>115</v>
      </c>
    </row>
    <row r="2" ht="14.25" customHeight="1">
      <c r="A2" s="17" t="s">
        <v>116</v>
      </c>
      <c r="B2" s="30">
        <v>1212.0</v>
      </c>
      <c r="C2" s="31" t="s">
        <v>117</v>
      </c>
      <c r="D2" s="17">
        <v>270.0</v>
      </c>
      <c r="E2" s="17">
        <f t="shared" ref="E2:E77" si="1">IF(D2&lt;500,D2*3,IF(D2&lt;1000,D2*2.5,IF(D2&lt;5000,D2*2.2,IF(D2&lt;20000,D2*2,D2*1.8))))</f>
        <v>810</v>
      </c>
      <c r="F2" s="32">
        <v>500.0</v>
      </c>
      <c r="G2" s="33">
        <v>500.0</v>
      </c>
      <c r="H2" s="17">
        <v>12.0</v>
      </c>
      <c r="I2" s="17">
        <f t="shared" ref="I2:I71" si="2">$D2*$H2</f>
        <v>3240</v>
      </c>
      <c r="J2" s="17">
        <f t="shared" ref="J2:J75" si="3">$E2*$H2</f>
        <v>9720</v>
      </c>
      <c r="K2" s="27">
        <f t="shared" ref="K2:K12" si="4">F2*H2</f>
        <v>6000</v>
      </c>
      <c r="L2" s="29">
        <f t="shared" ref="L2:L75" si="5">G2*H2</f>
        <v>6000</v>
      </c>
      <c r="M2" s="34">
        <f>VLOOKUP($B2,bodega!A:C,3,0)</f>
        <v>9</v>
      </c>
    </row>
    <row r="3" ht="14.25" customHeight="1">
      <c r="A3" s="17" t="s">
        <v>118</v>
      </c>
      <c r="B3" s="30">
        <v>809939.0</v>
      </c>
      <c r="C3" s="35" t="s">
        <v>119</v>
      </c>
      <c r="D3" s="17">
        <v>9000.0</v>
      </c>
      <c r="E3" s="17">
        <f t="shared" si="1"/>
        <v>18000</v>
      </c>
      <c r="F3" s="36">
        <v>17990.0</v>
      </c>
      <c r="G3" s="28">
        <f t="shared" ref="G3:G59" si="6">IF(AND(F3&gt;=1000, MOD(F3,1000)&lt;=90), (INT(F3/1000)*1000)-10, ROUNDUP(MAX(0,F3-90),-2)+90)</f>
        <v>17990</v>
      </c>
      <c r="H3" s="17">
        <v>3.0</v>
      </c>
      <c r="I3" s="17">
        <f t="shared" si="2"/>
        <v>27000</v>
      </c>
      <c r="J3" s="17">
        <f t="shared" si="3"/>
        <v>54000</v>
      </c>
      <c r="K3" s="27">
        <f t="shared" si="4"/>
        <v>53970</v>
      </c>
      <c r="L3" s="29">
        <f t="shared" si="5"/>
        <v>53970</v>
      </c>
      <c r="M3" s="34">
        <f>VLOOKUP($B3,bodega!A:C,3,0)</f>
        <v>0</v>
      </c>
    </row>
    <row r="4" ht="14.25" customHeight="1">
      <c r="A4" s="17" t="s">
        <v>118</v>
      </c>
      <c r="B4" s="30">
        <v>807597.0</v>
      </c>
      <c r="C4" s="35" t="s">
        <v>120</v>
      </c>
      <c r="D4" s="17">
        <v>2600.0</v>
      </c>
      <c r="E4" s="17">
        <f t="shared" si="1"/>
        <v>5720</v>
      </c>
      <c r="F4" s="36">
        <v>5290.0</v>
      </c>
      <c r="G4" s="28">
        <f t="shared" si="6"/>
        <v>5290</v>
      </c>
      <c r="H4" s="37">
        <v>13.0</v>
      </c>
      <c r="I4" s="17">
        <f t="shared" si="2"/>
        <v>33800</v>
      </c>
      <c r="J4" s="17">
        <f t="shared" si="3"/>
        <v>74360</v>
      </c>
      <c r="K4" s="27">
        <f t="shared" si="4"/>
        <v>68770</v>
      </c>
      <c r="L4" s="29">
        <f t="shared" si="5"/>
        <v>68770</v>
      </c>
      <c r="M4" s="34">
        <f>VLOOKUP($B4,bodega!A:C,3,0)</f>
        <v>7</v>
      </c>
    </row>
    <row r="5" ht="14.25" customHeight="1">
      <c r="A5" s="17" t="s">
        <v>118</v>
      </c>
      <c r="B5" s="30">
        <v>1515.0</v>
      </c>
      <c r="C5" s="31" t="s">
        <v>121</v>
      </c>
      <c r="D5" s="17">
        <v>2500.0</v>
      </c>
      <c r="E5" s="17">
        <f t="shared" si="1"/>
        <v>5500</v>
      </c>
      <c r="F5" s="36">
        <v>4990.0</v>
      </c>
      <c r="G5" s="28">
        <f t="shared" si="6"/>
        <v>4990</v>
      </c>
      <c r="H5" s="17">
        <v>3.0</v>
      </c>
      <c r="I5" s="17">
        <f t="shared" si="2"/>
        <v>7500</v>
      </c>
      <c r="J5" s="17">
        <f t="shared" si="3"/>
        <v>16500</v>
      </c>
      <c r="K5" s="27">
        <f t="shared" si="4"/>
        <v>14970</v>
      </c>
      <c r="L5" s="29">
        <f t="shared" si="5"/>
        <v>14970</v>
      </c>
      <c r="M5" s="34">
        <f>VLOOKUP($B5,bodega!A:C,3,0)</f>
        <v>0</v>
      </c>
    </row>
    <row r="6" ht="14.25" customHeight="1">
      <c r="A6" s="17" t="s">
        <v>118</v>
      </c>
      <c r="B6" s="30">
        <v>1616.0</v>
      </c>
      <c r="C6" s="35" t="s">
        <v>122</v>
      </c>
      <c r="D6" s="17">
        <v>2800.0</v>
      </c>
      <c r="E6" s="17">
        <f t="shared" si="1"/>
        <v>6160</v>
      </c>
      <c r="F6" s="36">
        <v>4590.0</v>
      </c>
      <c r="G6" s="28">
        <f t="shared" si="6"/>
        <v>4590</v>
      </c>
      <c r="H6" s="17">
        <v>3.0</v>
      </c>
      <c r="I6" s="17">
        <f t="shared" si="2"/>
        <v>8400</v>
      </c>
      <c r="J6" s="17">
        <f t="shared" si="3"/>
        <v>18480</v>
      </c>
      <c r="K6" s="27">
        <f t="shared" si="4"/>
        <v>13770</v>
      </c>
      <c r="L6" s="29">
        <f t="shared" si="5"/>
        <v>13770</v>
      </c>
      <c r="M6" s="34">
        <f>VLOOKUP($B6,bodega!A:C,3,0)</f>
        <v>0</v>
      </c>
    </row>
    <row r="7" ht="14.25" customHeight="1">
      <c r="A7" s="17" t="s">
        <v>118</v>
      </c>
      <c r="B7" s="30">
        <v>1717.0</v>
      </c>
      <c r="C7" s="35" t="s">
        <v>123</v>
      </c>
      <c r="D7" s="17">
        <v>2000.0</v>
      </c>
      <c r="E7" s="17">
        <f t="shared" si="1"/>
        <v>4400</v>
      </c>
      <c r="F7" s="36">
        <v>4590.0</v>
      </c>
      <c r="G7" s="28">
        <f t="shared" si="6"/>
        <v>4590</v>
      </c>
      <c r="H7" s="37">
        <v>7.0</v>
      </c>
      <c r="I7" s="17">
        <f t="shared" si="2"/>
        <v>14000</v>
      </c>
      <c r="J7" s="17">
        <f t="shared" si="3"/>
        <v>30800</v>
      </c>
      <c r="K7" s="27">
        <f t="shared" si="4"/>
        <v>32130</v>
      </c>
      <c r="L7" s="29">
        <f t="shared" si="5"/>
        <v>32130</v>
      </c>
      <c r="M7" s="34">
        <f>VLOOKUP($B7,bodega!A:C,3,0)</f>
        <v>4</v>
      </c>
    </row>
    <row r="8" ht="14.25" customHeight="1">
      <c r="A8" s="17" t="s">
        <v>118</v>
      </c>
      <c r="B8" s="30">
        <v>808708.0</v>
      </c>
      <c r="C8" s="31" t="s">
        <v>124</v>
      </c>
      <c r="D8" s="17">
        <v>2000.0</v>
      </c>
      <c r="E8" s="17">
        <f t="shared" si="1"/>
        <v>4400</v>
      </c>
      <c r="F8" s="36">
        <v>3990.0</v>
      </c>
      <c r="G8" s="28">
        <f t="shared" si="6"/>
        <v>3990</v>
      </c>
      <c r="H8" s="17">
        <v>6.0</v>
      </c>
      <c r="I8" s="17">
        <f t="shared" si="2"/>
        <v>12000</v>
      </c>
      <c r="J8" s="17">
        <f t="shared" si="3"/>
        <v>26400</v>
      </c>
      <c r="K8" s="27">
        <f t="shared" si="4"/>
        <v>23940</v>
      </c>
      <c r="L8" s="29">
        <f t="shared" si="5"/>
        <v>23940</v>
      </c>
      <c r="M8" s="34">
        <f>VLOOKUP($B8,bodega!A:C,3,0)</f>
        <v>0</v>
      </c>
    </row>
    <row r="9" ht="14.25" customHeight="1">
      <c r="A9" s="17" t="s">
        <v>118</v>
      </c>
      <c r="B9" s="30">
        <v>601873.0</v>
      </c>
      <c r="C9" s="31" t="s">
        <v>125</v>
      </c>
      <c r="D9" s="17">
        <v>1000.0</v>
      </c>
      <c r="E9" s="17">
        <f t="shared" si="1"/>
        <v>2200</v>
      </c>
      <c r="F9" s="36">
        <v>2490.0</v>
      </c>
      <c r="G9" s="28">
        <f t="shared" si="6"/>
        <v>2490</v>
      </c>
      <c r="H9" s="17">
        <v>6.0</v>
      </c>
      <c r="I9" s="17">
        <f t="shared" si="2"/>
        <v>6000</v>
      </c>
      <c r="J9" s="17">
        <f t="shared" si="3"/>
        <v>13200</v>
      </c>
      <c r="K9" s="27">
        <f t="shared" si="4"/>
        <v>14940</v>
      </c>
      <c r="L9" s="29">
        <f t="shared" si="5"/>
        <v>14940</v>
      </c>
      <c r="M9" s="34">
        <f>VLOOKUP($B9,bodega!A:C,3,0)</f>
        <v>4</v>
      </c>
    </row>
    <row r="10" ht="14.25" customHeight="1">
      <c r="A10" s="17" t="s">
        <v>118</v>
      </c>
      <c r="B10" s="30">
        <v>1313.0</v>
      </c>
      <c r="C10" s="31" t="s">
        <v>126</v>
      </c>
      <c r="D10" s="17">
        <v>2500.0</v>
      </c>
      <c r="E10" s="17">
        <f t="shared" si="1"/>
        <v>5500</v>
      </c>
      <c r="F10" s="36">
        <v>4990.0</v>
      </c>
      <c r="G10" s="28">
        <f t="shared" si="6"/>
        <v>4990</v>
      </c>
      <c r="H10" s="17">
        <v>4.0</v>
      </c>
      <c r="I10" s="17">
        <f t="shared" si="2"/>
        <v>10000</v>
      </c>
      <c r="J10" s="17">
        <f t="shared" si="3"/>
        <v>22000</v>
      </c>
      <c r="K10" s="27">
        <f t="shared" si="4"/>
        <v>19960</v>
      </c>
      <c r="L10" s="29">
        <f t="shared" si="5"/>
        <v>19960</v>
      </c>
      <c r="M10" s="34">
        <f>VLOOKUP($B10,bodega!A:C,3,0)</f>
        <v>4</v>
      </c>
    </row>
    <row r="11" ht="14.25" customHeight="1">
      <c r="A11" s="17" t="s">
        <v>118</v>
      </c>
      <c r="B11" s="30">
        <v>808698.0</v>
      </c>
      <c r="C11" s="31" t="s">
        <v>127</v>
      </c>
      <c r="D11" s="17">
        <v>2500.0</v>
      </c>
      <c r="E11" s="17">
        <f t="shared" si="1"/>
        <v>5500</v>
      </c>
      <c r="F11" s="36">
        <v>4990.0</v>
      </c>
      <c r="G11" s="28">
        <f t="shared" si="6"/>
        <v>4990</v>
      </c>
      <c r="H11" s="17">
        <v>6.0</v>
      </c>
      <c r="I11" s="17">
        <f t="shared" si="2"/>
        <v>15000</v>
      </c>
      <c r="J11" s="17">
        <f t="shared" si="3"/>
        <v>33000</v>
      </c>
      <c r="K11" s="27">
        <f t="shared" si="4"/>
        <v>29940</v>
      </c>
      <c r="L11" s="29">
        <f t="shared" si="5"/>
        <v>29940</v>
      </c>
      <c r="M11" s="34">
        <f>VLOOKUP($B11,bodega!A:C,3,0)</f>
        <v>2</v>
      </c>
    </row>
    <row r="12" ht="14.25" customHeight="1">
      <c r="A12" s="17" t="s">
        <v>118</v>
      </c>
      <c r="B12" s="30">
        <v>1414.0</v>
      </c>
      <c r="C12" s="31" t="s">
        <v>128</v>
      </c>
      <c r="D12" s="17">
        <v>1900.0</v>
      </c>
      <c r="E12" s="17">
        <f t="shared" si="1"/>
        <v>4180</v>
      </c>
      <c r="F12" s="36">
        <v>3890.0</v>
      </c>
      <c r="G12" s="28">
        <f t="shared" si="6"/>
        <v>3890</v>
      </c>
      <c r="H12" s="17">
        <v>4.0</v>
      </c>
      <c r="I12" s="17">
        <f t="shared" si="2"/>
        <v>7600</v>
      </c>
      <c r="J12" s="17">
        <f t="shared" si="3"/>
        <v>16720</v>
      </c>
      <c r="K12" s="27">
        <f t="shared" si="4"/>
        <v>15560</v>
      </c>
      <c r="L12" s="29">
        <f t="shared" si="5"/>
        <v>15560</v>
      </c>
      <c r="M12" s="34">
        <f>VLOOKUP($B12,bodega!A:C,3,0)</f>
        <v>4</v>
      </c>
    </row>
    <row r="13" ht="14.25" customHeight="1">
      <c r="A13" s="37" t="s">
        <v>118</v>
      </c>
      <c r="B13" s="38">
        <v>655188.0</v>
      </c>
      <c r="C13" s="37" t="s">
        <v>129</v>
      </c>
      <c r="D13" s="37">
        <v>2800.0</v>
      </c>
      <c r="E13" s="17">
        <f t="shared" si="1"/>
        <v>6160</v>
      </c>
      <c r="F13" s="37">
        <v>4590.0</v>
      </c>
      <c r="G13" s="28">
        <f t="shared" si="6"/>
        <v>4590</v>
      </c>
      <c r="H13" s="37">
        <v>4.0</v>
      </c>
      <c r="I13" s="17">
        <f t="shared" si="2"/>
        <v>11200</v>
      </c>
      <c r="J13" s="17">
        <f t="shared" si="3"/>
        <v>24640</v>
      </c>
      <c r="K13" s="27">
        <f t="shared" ref="K13:K14" si="7">F9*H13</f>
        <v>9960</v>
      </c>
      <c r="L13" s="29">
        <f t="shared" si="5"/>
        <v>18360</v>
      </c>
      <c r="M13" s="24">
        <v>4.0</v>
      </c>
    </row>
    <row r="14" ht="14.25" customHeight="1">
      <c r="A14" s="37" t="s">
        <v>118</v>
      </c>
      <c r="B14" s="38">
        <v>8095749.0</v>
      </c>
      <c r="C14" s="37" t="s">
        <v>130</v>
      </c>
      <c r="D14" s="37">
        <v>2500.0</v>
      </c>
      <c r="E14" s="17">
        <f t="shared" si="1"/>
        <v>5500</v>
      </c>
      <c r="F14" s="37">
        <v>4990.0</v>
      </c>
      <c r="G14" s="28">
        <f t="shared" si="6"/>
        <v>4990</v>
      </c>
      <c r="H14" s="37">
        <v>4.0</v>
      </c>
      <c r="I14" s="17">
        <f t="shared" si="2"/>
        <v>10000</v>
      </c>
      <c r="J14" s="17">
        <f t="shared" si="3"/>
        <v>22000</v>
      </c>
      <c r="K14" s="27">
        <f t="shared" si="7"/>
        <v>19960</v>
      </c>
      <c r="L14" s="29">
        <f t="shared" si="5"/>
        <v>19960</v>
      </c>
      <c r="M14" s="24">
        <v>4.0</v>
      </c>
    </row>
    <row r="15" ht="14.25" customHeight="1">
      <c r="A15" s="17" t="s">
        <v>50</v>
      </c>
      <c r="B15" s="30">
        <v>24217.0</v>
      </c>
      <c r="C15" s="31" t="s">
        <v>131</v>
      </c>
      <c r="D15" s="17">
        <v>2550.0</v>
      </c>
      <c r="E15" s="17">
        <f t="shared" si="1"/>
        <v>5610</v>
      </c>
      <c r="F15" s="36">
        <v>5490.0</v>
      </c>
      <c r="G15" s="28">
        <f t="shared" si="6"/>
        <v>5490</v>
      </c>
      <c r="H15" s="17">
        <v>3.0</v>
      </c>
      <c r="I15" s="17">
        <f t="shared" si="2"/>
        <v>7650</v>
      </c>
      <c r="J15" s="17">
        <f t="shared" si="3"/>
        <v>16830</v>
      </c>
      <c r="K15" s="27">
        <f t="shared" ref="K15:K35" si="8">F15*H15</f>
        <v>16470</v>
      </c>
      <c r="L15" s="29">
        <f t="shared" si="5"/>
        <v>16470</v>
      </c>
      <c r="M15" s="34">
        <f>VLOOKUP($B15,bodega!A:C,3,0)</f>
        <v>2</v>
      </c>
    </row>
    <row r="16" ht="14.25" customHeight="1">
      <c r="A16" s="17" t="s">
        <v>50</v>
      </c>
      <c r="B16" s="30">
        <v>19571.0</v>
      </c>
      <c r="C16" s="31" t="s">
        <v>132</v>
      </c>
      <c r="D16" s="17">
        <v>7600.0</v>
      </c>
      <c r="E16" s="17">
        <f t="shared" si="1"/>
        <v>15200</v>
      </c>
      <c r="F16" s="36">
        <v>15290.0</v>
      </c>
      <c r="G16" s="28">
        <f t="shared" si="6"/>
        <v>15290</v>
      </c>
      <c r="H16" s="37">
        <v>12.0</v>
      </c>
      <c r="I16" s="17">
        <f t="shared" si="2"/>
        <v>91200</v>
      </c>
      <c r="J16" s="17">
        <f t="shared" si="3"/>
        <v>182400</v>
      </c>
      <c r="K16" s="27">
        <f t="shared" si="8"/>
        <v>183480</v>
      </c>
      <c r="L16" s="29">
        <f t="shared" si="5"/>
        <v>183480</v>
      </c>
      <c r="M16" s="34">
        <f>VLOOKUP($B16,bodega!A:C,3,0)</f>
        <v>7</v>
      </c>
    </row>
    <row r="17" ht="14.25" customHeight="1">
      <c r="A17" s="17" t="s">
        <v>50</v>
      </c>
      <c r="B17" s="30">
        <v>50948.0</v>
      </c>
      <c r="C17" s="35" t="s">
        <v>133</v>
      </c>
      <c r="D17" s="17">
        <v>1300.0</v>
      </c>
      <c r="E17" s="17">
        <f t="shared" si="1"/>
        <v>2860</v>
      </c>
      <c r="F17" s="36">
        <v>2690.0</v>
      </c>
      <c r="G17" s="28">
        <f t="shared" si="6"/>
        <v>2690</v>
      </c>
      <c r="H17" s="37">
        <v>12.0</v>
      </c>
      <c r="I17" s="17">
        <f t="shared" si="2"/>
        <v>15600</v>
      </c>
      <c r="J17" s="17">
        <f t="shared" si="3"/>
        <v>34320</v>
      </c>
      <c r="K17" s="27">
        <f t="shared" si="8"/>
        <v>32280</v>
      </c>
      <c r="L17" s="29">
        <f t="shared" si="5"/>
        <v>32280</v>
      </c>
      <c r="M17" s="34">
        <f>VLOOKUP($B17,bodega!A:C,3,0)</f>
        <v>7</v>
      </c>
    </row>
    <row r="18" ht="14.25" customHeight="1">
      <c r="A18" s="17" t="s">
        <v>50</v>
      </c>
      <c r="B18" s="30">
        <v>25936.0</v>
      </c>
      <c r="C18" s="31" t="s">
        <v>134</v>
      </c>
      <c r="D18" s="17">
        <v>3900.0</v>
      </c>
      <c r="E18" s="17">
        <f t="shared" si="1"/>
        <v>8580</v>
      </c>
      <c r="F18" s="36">
        <v>7890.0</v>
      </c>
      <c r="G18" s="28">
        <f t="shared" si="6"/>
        <v>7890</v>
      </c>
      <c r="H18" s="37">
        <v>8.0</v>
      </c>
      <c r="I18" s="17">
        <f t="shared" si="2"/>
        <v>31200</v>
      </c>
      <c r="J18" s="17">
        <f t="shared" si="3"/>
        <v>68640</v>
      </c>
      <c r="K18" s="27">
        <f t="shared" si="8"/>
        <v>63120</v>
      </c>
      <c r="L18" s="29">
        <f t="shared" si="5"/>
        <v>63120</v>
      </c>
      <c r="M18" s="34">
        <f>VLOOKUP($B18,bodega!A:C,3,0)</f>
        <v>4</v>
      </c>
    </row>
    <row r="19" ht="14.25" customHeight="1">
      <c r="A19" s="17" t="s">
        <v>50</v>
      </c>
      <c r="B19" s="30">
        <v>15154.0</v>
      </c>
      <c r="C19" s="35" t="s">
        <v>135</v>
      </c>
      <c r="D19" s="17">
        <v>2300.0</v>
      </c>
      <c r="E19" s="17">
        <f t="shared" si="1"/>
        <v>5060</v>
      </c>
      <c r="F19" s="36">
        <v>4690.0</v>
      </c>
      <c r="G19" s="28">
        <f t="shared" si="6"/>
        <v>4690</v>
      </c>
      <c r="H19" s="17">
        <v>6.0</v>
      </c>
      <c r="I19" s="17">
        <f t="shared" si="2"/>
        <v>13800</v>
      </c>
      <c r="J19" s="17">
        <f t="shared" si="3"/>
        <v>30360</v>
      </c>
      <c r="K19" s="27">
        <f t="shared" si="8"/>
        <v>28140</v>
      </c>
      <c r="L19" s="29">
        <f t="shared" si="5"/>
        <v>28140</v>
      </c>
      <c r="M19" s="34">
        <f>VLOOKUP($B19,bodega!A:C,3,0)</f>
        <v>2</v>
      </c>
    </row>
    <row r="20" ht="14.25" customHeight="1">
      <c r="A20" s="17" t="s">
        <v>50</v>
      </c>
      <c r="B20" s="30">
        <v>21455.0</v>
      </c>
      <c r="C20" s="35" t="s">
        <v>136</v>
      </c>
      <c r="D20" s="17">
        <v>1800.0</v>
      </c>
      <c r="E20" s="17">
        <f t="shared" si="1"/>
        <v>3960</v>
      </c>
      <c r="F20" s="32">
        <v>4990.0</v>
      </c>
      <c r="G20" s="28">
        <f t="shared" si="6"/>
        <v>4990</v>
      </c>
      <c r="H20" s="17">
        <v>3.0</v>
      </c>
      <c r="I20" s="17">
        <f t="shared" si="2"/>
        <v>5400</v>
      </c>
      <c r="J20" s="17">
        <f t="shared" si="3"/>
        <v>11880</v>
      </c>
      <c r="K20" s="27">
        <f t="shared" si="8"/>
        <v>14970</v>
      </c>
      <c r="L20" s="29">
        <f t="shared" si="5"/>
        <v>14970</v>
      </c>
      <c r="M20" s="34">
        <f>VLOOKUP($B20,bodega!A:C,3,0)</f>
        <v>2</v>
      </c>
    </row>
    <row r="21" ht="14.25" customHeight="1">
      <c r="A21" s="17" t="s">
        <v>50</v>
      </c>
      <c r="B21" s="30">
        <v>21457.0</v>
      </c>
      <c r="C21" s="35" t="s">
        <v>137</v>
      </c>
      <c r="D21" s="17">
        <v>3000.0</v>
      </c>
      <c r="E21" s="17">
        <f t="shared" si="1"/>
        <v>6600</v>
      </c>
      <c r="F21" s="36">
        <v>5990.0</v>
      </c>
      <c r="G21" s="28">
        <f t="shared" si="6"/>
        <v>5990</v>
      </c>
      <c r="H21" s="17">
        <v>2.0</v>
      </c>
      <c r="I21" s="17">
        <f t="shared" si="2"/>
        <v>6000</v>
      </c>
      <c r="J21" s="17">
        <f t="shared" si="3"/>
        <v>13200</v>
      </c>
      <c r="K21" s="27">
        <f t="shared" si="8"/>
        <v>11980</v>
      </c>
      <c r="L21" s="29">
        <f t="shared" si="5"/>
        <v>11980</v>
      </c>
      <c r="M21" s="34">
        <f>VLOOKUP($B21,bodega!A:C,3,0)</f>
        <v>2</v>
      </c>
    </row>
    <row r="22" ht="14.25" customHeight="1">
      <c r="A22" s="17" t="s">
        <v>50</v>
      </c>
      <c r="B22" s="30">
        <v>24218.0</v>
      </c>
      <c r="C22" s="31" t="s">
        <v>138</v>
      </c>
      <c r="D22" s="17">
        <v>2550.0</v>
      </c>
      <c r="E22" s="17">
        <f t="shared" si="1"/>
        <v>5610</v>
      </c>
      <c r="F22" s="36">
        <v>5490.0</v>
      </c>
      <c r="G22" s="28">
        <f t="shared" si="6"/>
        <v>5490</v>
      </c>
      <c r="H22" s="17">
        <v>3.0</v>
      </c>
      <c r="I22" s="17">
        <f t="shared" si="2"/>
        <v>7650</v>
      </c>
      <c r="J22" s="17">
        <f t="shared" si="3"/>
        <v>16830</v>
      </c>
      <c r="K22" s="27">
        <f t="shared" si="8"/>
        <v>16470</v>
      </c>
      <c r="L22" s="29">
        <f t="shared" si="5"/>
        <v>16470</v>
      </c>
      <c r="M22" s="34">
        <f>VLOOKUP($B22,bodega!A:C,3,0)</f>
        <v>3</v>
      </c>
    </row>
    <row r="23" ht="14.25" customHeight="1">
      <c r="A23" s="17" t="s">
        <v>50</v>
      </c>
      <c r="B23" s="30">
        <v>51248.0</v>
      </c>
      <c r="C23" s="35" t="s">
        <v>139</v>
      </c>
      <c r="D23" s="17">
        <v>3150.0</v>
      </c>
      <c r="E23" s="17">
        <f t="shared" si="1"/>
        <v>6930</v>
      </c>
      <c r="F23" s="36">
        <v>6390.0</v>
      </c>
      <c r="G23" s="28">
        <f t="shared" si="6"/>
        <v>6390</v>
      </c>
      <c r="H23" s="17">
        <v>4.0</v>
      </c>
      <c r="I23" s="17">
        <f t="shared" si="2"/>
        <v>12600</v>
      </c>
      <c r="J23" s="17">
        <f t="shared" si="3"/>
        <v>27720</v>
      </c>
      <c r="K23" s="27">
        <f t="shared" si="8"/>
        <v>25560</v>
      </c>
      <c r="L23" s="29">
        <f t="shared" si="5"/>
        <v>25560</v>
      </c>
      <c r="M23" s="34">
        <f>VLOOKUP($B23,bodega!A:C,3,0)</f>
        <v>3</v>
      </c>
    </row>
    <row r="24" ht="14.25" customHeight="1">
      <c r="A24" s="17" t="s">
        <v>50</v>
      </c>
      <c r="B24" s="30">
        <v>22489.0</v>
      </c>
      <c r="C24" s="31" t="s">
        <v>140</v>
      </c>
      <c r="D24" s="17">
        <v>3100.0</v>
      </c>
      <c r="E24" s="17">
        <f t="shared" si="1"/>
        <v>6820</v>
      </c>
      <c r="F24" s="36">
        <v>6290.0</v>
      </c>
      <c r="G24" s="28">
        <f t="shared" si="6"/>
        <v>6290</v>
      </c>
      <c r="H24" s="17">
        <v>4.0</v>
      </c>
      <c r="I24" s="17">
        <f t="shared" si="2"/>
        <v>12400</v>
      </c>
      <c r="J24" s="17">
        <f t="shared" si="3"/>
        <v>27280</v>
      </c>
      <c r="K24" s="27">
        <f t="shared" si="8"/>
        <v>25160</v>
      </c>
      <c r="L24" s="29">
        <f t="shared" si="5"/>
        <v>25160</v>
      </c>
      <c r="M24" s="34">
        <f>VLOOKUP($B24,bodega!A:C,3,0)</f>
        <v>3</v>
      </c>
    </row>
    <row r="25" ht="14.25" customHeight="1">
      <c r="A25" s="17" t="s">
        <v>50</v>
      </c>
      <c r="B25" s="30">
        <v>22493.0</v>
      </c>
      <c r="C25" s="31" t="s">
        <v>141</v>
      </c>
      <c r="D25" s="17">
        <v>3500.0</v>
      </c>
      <c r="E25" s="17">
        <f t="shared" si="1"/>
        <v>7700</v>
      </c>
      <c r="F25" s="36">
        <v>6990.0</v>
      </c>
      <c r="G25" s="28">
        <f t="shared" si="6"/>
        <v>6990</v>
      </c>
      <c r="H25" s="17">
        <v>4.0</v>
      </c>
      <c r="I25" s="17">
        <f t="shared" si="2"/>
        <v>14000</v>
      </c>
      <c r="J25" s="17">
        <f t="shared" si="3"/>
        <v>30800</v>
      </c>
      <c r="K25" s="27">
        <f t="shared" si="8"/>
        <v>27960</v>
      </c>
      <c r="L25" s="29">
        <f t="shared" si="5"/>
        <v>27960</v>
      </c>
      <c r="M25" s="34">
        <f>VLOOKUP($B25,bodega!A:C,3,0)</f>
        <v>3</v>
      </c>
    </row>
    <row r="26" ht="14.25" customHeight="1">
      <c r="A26" s="17" t="s">
        <v>50</v>
      </c>
      <c r="B26" s="30">
        <v>23712.0</v>
      </c>
      <c r="C26" s="31" t="s">
        <v>142</v>
      </c>
      <c r="D26" s="17">
        <v>2750.0</v>
      </c>
      <c r="E26" s="17">
        <f t="shared" si="1"/>
        <v>6050</v>
      </c>
      <c r="F26" s="36">
        <v>5590.0</v>
      </c>
      <c r="G26" s="28">
        <f t="shared" si="6"/>
        <v>5590</v>
      </c>
      <c r="H26" s="17">
        <v>4.0</v>
      </c>
      <c r="I26" s="17">
        <f t="shared" si="2"/>
        <v>11000</v>
      </c>
      <c r="J26" s="17">
        <f t="shared" si="3"/>
        <v>24200</v>
      </c>
      <c r="K26" s="27">
        <f t="shared" si="8"/>
        <v>22360</v>
      </c>
      <c r="L26" s="29">
        <f t="shared" si="5"/>
        <v>22360</v>
      </c>
      <c r="M26" s="34">
        <f>VLOOKUP($B26,bodega!A:C,3,0)</f>
        <v>3</v>
      </c>
    </row>
    <row r="27" ht="14.25" customHeight="1">
      <c r="A27" s="17" t="s">
        <v>50</v>
      </c>
      <c r="B27" s="30">
        <v>50165.0</v>
      </c>
      <c r="C27" s="35" t="s">
        <v>143</v>
      </c>
      <c r="D27" s="17">
        <v>1000.0</v>
      </c>
      <c r="E27" s="17">
        <f t="shared" si="1"/>
        <v>2200</v>
      </c>
      <c r="F27" s="36">
        <v>1990.0</v>
      </c>
      <c r="G27" s="28">
        <f t="shared" si="6"/>
        <v>1990</v>
      </c>
      <c r="H27" s="17">
        <v>3.0</v>
      </c>
      <c r="I27" s="17">
        <f t="shared" si="2"/>
        <v>3000</v>
      </c>
      <c r="J27" s="17">
        <f t="shared" si="3"/>
        <v>6600</v>
      </c>
      <c r="K27" s="27">
        <f t="shared" si="8"/>
        <v>5970</v>
      </c>
      <c r="L27" s="29">
        <f t="shared" si="5"/>
        <v>5970</v>
      </c>
      <c r="M27" s="34">
        <f>VLOOKUP($B27,bodega!A:C,3,0)</f>
        <v>3</v>
      </c>
    </row>
    <row r="28" ht="14.25" customHeight="1">
      <c r="A28" s="17" t="s">
        <v>50</v>
      </c>
      <c r="B28" s="30">
        <v>21930.0</v>
      </c>
      <c r="C28" s="31" t="s">
        <v>144</v>
      </c>
      <c r="D28" s="17">
        <v>1800.0</v>
      </c>
      <c r="E28" s="17">
        <f t="shared" si="1"/>
        <v>3960</v>
      </c>
      <c r="F28" s="36">
        <v>3690.0</v>
      </c>
      <c r="G28" s="28">
        <f t="shared" si="6"/>
        <v>3690</v>
      </c>
      <c r="H28" s="17">
        <v>6.0</v>
      </c>
      <c r="I28" s="17">
        <f t="shared" si="2"/>
        <v>10800</v>
      </c>
      <c r="J28" s="17">
        <f t="shared" si="3"/>
        <v>23760</v>
      </c>
      <c r="K28" s="27">
        <f t="shared" si="8"/>
        <v>22140</v>
      </c>
      <c r="L28" s="29">
        <f t="shared" si="5"/>
        <v>22140</v>
      </c>
      <c r="M28" s="34">
        <f>VLOOKUP($B28,bodega!A:C,3,0)</f>
        <v>4</v>
      </c>
    </row>
    <row r="29" ht="14.25" customHeight="1">
      <c r="A29" s="17" t="s">
        <v>50</v>
      </c>
      <c r="B29" s="30">
        <v>50499.0</v>
      </c>
      <c r="C29" s="31" t="s">
        <v>145</v>
      </c>
      <c r="D29" s="17">
        <v>700.0</v>
      </c>
      <c r="E29" s="17">
        <f t="shared" si="1"/>
        <v>1750</v>
      </c>
      <c r="F29" s="36">
        <v>1490.0</v>
      </c>
      <c r="G29" s="28">
        <f t="shared" si="6"/>
        <v>1490</v>
      </c>
      <c r="H29" s="17">
        <v>6.0</v>
      </c>
      <c r="I29" s="17">
        <f t="shared" si="2"/>
        <v>4200</v>
      </c>
      <c r="J29" s="17">
        <f t="shared" si="3"/>
        <v>10500</v>
      </c>
      <c r="K29" s="27">
        <f t="shared" si="8"/>
        <v>8940</v>
      </c>
      <c r="L29" s="29">
        <f t="shared" si="5"/>
        <v>8940</v>
      </c>
      <c r="M29" s="34">
        <f>VLOOKUP($B29,bodega!A:C,3,0)</f>
        <v>4</v>
      </c>
    </row>
    <row r="30" ht="14.25" customHeight="1">
      <c r="A30" s="17" t="s">
        <v>50</v>
      </c>
      <c r="B30" s="30">
        <v>50883.0</v>
      </c>
      <c r="C30" s="35" t="s">
        <v>146</v>
      </c>
      <c r="D30" s="17">
        <v>1350.0</v>
      </c>
      <c r="E30" s="17">
        <f t="shared" si="1"/>
        <v>2970</v>
      </c>
      <c r="F30" s="36">
        <v>2790.0</v>
      </c>
      <c r="G30" s="28">
        <f t="shared" si="6"/>
        <v>2790</v>
      </c>
      <c r="H30" s="17">
        <v>4.0</v>
      </c>
      <c r="I30" s="17">
        <f t="shared" si="2"/>
        <v>5400</v>
      </c>
      <c r="J30" s="17">
        <f t="shared" si="3"/>
        <v>11880</v>
      </c>
      <c r="K30" s="27">
        <f t="shared" si="8"/>
        <v>11160</v>
      </c>
      <c r="L30" s="29">
        <f t="shared" si="5"/>
        <v>11160</v>
      </c>
      <c r="M30" s="34">
        <f>VLOOKUP($B30,bodega!A:C,3,0)</f>
        <v>4</v>
      </c>
    </row>
    <row r="31" ht="14.25" customHeight="1">
      <c r="A31" s="17" t="s">
        <v>50</v>
      </c>
      <c r="B31" s="30">
        <v>15855.0</v>
      </c>
      <c r="C31" s="31" t="s">
        <v>147</v>
      </c>
      <c r="D31" s="17">
        <v>2000.0</v>
      </c>
      <c r="E31" s="17">
        <f t="shared" si="1"/>
        <v>4400</v>
      </c>
      <c r="F31" s="36">
        <v>3990.0</v>
      </c>
      <c r="G31" s="28">
        <f t="shared" si="6"/>
        <v>3990</v>
      </c>
      <c r="H31" s="17">
        <v>6.0</v>
      </c>
      <c r="I31" s="17">
        <f t="shared" si="2"/>
        <v>12000</v>
      </c>
      <c r="J31" s="17">
        <f t="shared" si="3"/>
        <v>26400</v>
      </c>
      <c r="K31" s="27">
        <f t="shared" si="8"/>
        <v>23940</v>
      </c>
      <c r="L31" s="29">
        <f t="shared" si="5"/>
        <v>23940</v>
      </c>
      <c r="M31" s="34">
        <f>VLOOKUP($B31,bodega!A:C,3,0)</f>
        <v>5</v>
      </c>
    </row>
    <row r="32" ht="14.25" customHeight="1">
      <c r="A32" s="17" t="s">
        <v>50</v>
      </c>
      <c r="B32" s="30">
        <v>15511.0</v>
      </c>
      <c r="C32" s="35" t="s">
        <v>148</v>
      </c>
      <c r="D32" s="17">
        <v>800.0</v>
      </c>
      <c r="E32" s="17">
        <f t="shared" si="1"/>
        <v>2000</v>
      </c>
      <c r="F32" s="36">
        <v>1690.0</v>
      </c>
      <c r="G32" s="28">
        <f t="shared" si="6"/>
        <v>1690</v>
      </c>
      <c r="H32" s="37">
        <v>36.0</v>
      </c>
      <c r="I32" s="17">
        <f t="shared" si="2"/>
        <v>28800</v>
      </c>
      <c r="J32" s="17">
        <f t="shared" si="3"/>
        <v>72000</v>
      </c>
      <c r="K32" s="27">
        <f t="shared" si="8"/>
        <v>60840</v>
      </c>
      <c r="L32" s="29">
        <f t="shared" si="5"/>
        <v>60840</v>
      </c>
      <c r="M32" s="34">
        <f>VLOOKUP($B32,bodega!A:C,3,0)</f>
        <v>10</v>
      </c>
    </row>
    <row r="33" ht="14.25" customHeight="1">
      <c r="A33" s="17" t="s">
        <v>50</v>
      </c>
      <c r="B33" s="30">
        <v>16922.0</v>
      </c>
      <c r="C33" s="31" t="s">
        <v>149</v>
      </c>
      <c r="D33" s="17">
        <v>2950.0</v>
      </c>
      <c r="E33" s="17">
        <f t="shared" si="1"/>
        <v>6490</v>
      </c>
      <c r="F33" s="36">
        <v>5990.0</v>
      </c>
      <c r="G33" s="28">
        <f t="shared" si="6"/>
        <v>5990</v>
      </c>
      <c r="H33" s="17">
        <v>7.0</v>
      </c>
      <c r="I33" s="17">
        <f t="shared" si="2"/>
        <v>20650</v>
      </c>
      <c r="J33" s="17">
        <f t="shared" si="3"/>
        <v>45430</v>
      </c>
      <c r="K33" s="27">
        <f t="shared" si="8"/>
        <v>41930</v>
      </c>
      <c r="L33" s="29">
        <f t="shared" si="5"/>
        <v>41930</v>
      </c>
      <c r="M33" s="34">
        <f>VLOOKUP($B33,bodega!A:C,3,0)</f>
        <v>6</v>
      </c>
    </row>
    <row r="34" ht="14.25" customHeight="1">
      <c r="A34" s="17" t="s">
        <v>50</v>
      </c>
      <c r="B34" s="30">
        <v>22354.0</v>
      </c>
      <c r="C34" s="35" t="s">
        <v>150</v>
      </c>
      <c r="D34" s="17">
        <v>1900.0</v>
      </c>
      <c r="E34" s="17">
        <f t="shared" si="1"/>
        <v>4180</v>
      </c>
      <c r="F34" s="36">
        <v>3890.0</v>
      </c>
      <c r="G34" s="28">
        <f t="shared" si="6"/>
        <v>3890</v>
      </c>
      <c r="H34" s="17">
        <v>7.0</v>
      </c>
      <c r="I34" s="17">
        <f t="shared" si="2"/>
        <v>13300</v>
      </c>
      <c r="J34" s="17">
        <f t="shared" si="3"/>
        <v>29260</v>
      </c>
      <c r="K34" s="27">
        <f t="shared" si="8"/>
        <v>27230</v>
      </c>
      <c r="L34" s="29">
        <f t="shared" si="5"/>
        <v>27230</v>
      </c>
      <c r="M34" s="34">
        <f>VLOOKUP($B34,bodega!A:C,3,0)</f>
        <v>5</v>
      </c>
    </row>
    <row r="35" ht="14.25" customHeight="1">
      <c r="A35" s="17" t="s">
        <v>50</v>
      </c>
      <c r="B35" s="30">
        <v>22629.0</v>
      </c>
      <c r="C35" s="31" t="s">
        <v>151</v>
      </c>
      <c r="D35" s="17">
        <v>700.0</v>
      </c>
      <c r="E35" s="17">
        <f t="shared" si="1"/>
        <v>1750</v>
      </c>
      <c r="F35" s="36">
        <v>1490.0</v>
      </c>
      <c r="G35" s="28">
        <f t="shared" si="6"/>
        <v>1490</v>
      </c>
      <c r="H35" s="17">
        <v>12.0</v>
      </c>
      <c r="I35" s="17">
        <f t="shared" si="2"/>
        <v>8400</v>
      </c>
      <c r="J35" s="17">
        <f t="shared" si="3"/>
        <v>21000</v>
      </c>
      <c r="K35" s="27">
        <f t="shared" si="8"/>
        <v>17880</v>
      </c>
      <c r="L35" s="29">
        <f t="shared" si="5"/>
        <v>17880</v>
      </c>
      <c r="M35" s="34">
        <f>VLOOKUP($B35,bodega!A:C,3,0)</f>
        <v>12</v>
      </c>
    </row>
    <row r="36" ht="14.25" customHeight="1">
      <c r="A36" s="37" t="s">
        <v>50</v>
      </c>
      <c r="B36" s="38">
        <v>51027.0</v>
      </c>
      <c r="C36" s="37" t="s">
        <v>152</v>
      </c>
      <c r="D36" s="37">
        <v>1200.0</v>
      </c>
      <c r="E36" s="17">
        <f t="shared" si="1"/>
        <v>2640</v>
      </c>
      <c r="F36" s="37">
        <v>2690.0</v>
      </c>
      <c r="G36" s="28">
        <f t="shared" si="6"/>
        <v>2690</v>
      </c>
      <c r="H36" s="37">
        <v>4.0</v>
      </c>
      <c r="I36" s="17">
        <f t="shared" si="2"/>
        <v>4800</v>
      </c>
      <c r="J36" s="17">
        <f t="shared" si="3"/>
        <v>10560</v>
      </c>
      <c r="K36" s="27">
        <f t="shared" ref="K36:K47" si="9">F32*H36</f>
        <v>6760</v>
      </c>
      <c r="L36" s="29">
        <f t="shared" si="5"/>
        <v>10760</v>
      </c>
      <c r="M36" s="24">
        <v>4.0</v>
      </c>
    </row>
    <row r="37" ht="14.25" customHeight="1">
      <c r="A37" s="37" t="s">
        <v>50</v>
      </c>
      <c r="B37" s="38">
        <v>14806.0</v>
      </c>
      <c r="C37" s="37" t="s">
        <v>153</v>
      </c>
      <c r="D37" s="37">
        <v>1500.0</v>
      </c>
      <c r="E37" s="17">
        <f t="shared" si="1"/>
        <v>3300</v>
      </c>
      <c r="F37" s="37">
        <v>3390.0</v>
      </c>
      <c r="G37" s="28">
        <f t="shared" si="6"/>
        <v>3390</v>
      </c>
      <c r="H37" s="37">
        <v>3.0</v>
      </c>
      <c r="I37" s="17">
        <f t="shared" si="2"/>
        <v>4500</v>
      </c>
      <c r="J37" s="17">
        <f t="shared" si="3"/>
        <v>9900</v>
      </c>
      <c r="K37" s="27">
        <f t="shared" si="9"/>
        <v>17970</v>
      </c>
      <c r="L37" s="29">
        <f t="shared" si="5"/>
        <v>10170</v>
      </c>
      <c r="M37" s="24">
        <v>3.0</v>
      </c>
    </row>
    <row r="38" ht="14.25" customHeight="1">
      <c r="A38" s="37" t="s">
        <v>50</v>
      </c>
      <c r="B38" s="38">
        <v>16935.0</v>
      </c>
      <c r="C38" s="37" t="s">
        <v>154</v>
      </c>
      <c r="D38" s="37">
        <v>1400.0</v>
      </c>
      <c r="E38" s="17">
        <f t="shared" si="1"/>
        <v>3080</v>
      </c>
      <c r="F38" s="37">
        <v>2990.0</v>
      </c>
      <c r="G38" s="28">
        <f t="shared" si="6"/>
        <v>2990</v>
      </c>
      <c r="H38" s="37">
        <v>4.0</v>
      </c>
      <c r="I38" s="17">
        <f t="shared" si="2"/>
        <v>5600</v>
      </c>
      <c r="J38" s="17">
        <f t="shared" si="3"/>
        <v>12320</v>
      </c>
      <c r="K38" s="27">
        <f t="shared" si="9"/>
        <v>15560</v>
      </c>
      <c r="L38" s="29">
        <f t="shared" si="5"/>
        <v>11960</v>
      </c>
      <c r="M38" s="24">
        <v>4.0</v>
      </c>
    </row>
    <row r="39" ht="14.25" customHeight="1">
      <c r="A39" s="37" t="s">
        <v>50</v>
      </c>
      <c r="B39" s="38">
        <v>7.676887207875E12</v>
      </c>
      <c r="C39" s="37" t="s">
        <v>155</v>
      </c>
      <c r="D39" s="37">
        <v>2800.0</v>
      </c>
      <c r="E39" s="17">
        <f t="shared" si="1"/>
        <v>6160</v>
      </c>
      <c r="F39" s="37">
        <v>5990.0</v>
      </c>
      <c r="G39" s="28">
        <f t="shared" si="6"/>
        <v>5990</v>
      </c>
      <c r="H39" s="37">
        <v>3.0</v>
      </c>
      <c r="I39" s="17">
        <f t="shared" si="2"/>
        <v>8400</v>
      </c>
      <c r="J39" s="17">
        <f t="shared" si="3"/>
        <v>18480</v>
      </c>
      <c r="K39" s="27">
        <f t="shared" si="9"/>
        <v>4470</v>
      </c>
      <c r="L39" s="29">
        <f t="shared" si="5"/>
        <v>17970</v>
      </c>
      <c r="M39" s="24">
        <v>3.0</v>
      </c>
    </row>
    <row r="40" ht="14.25" customHeight="1">
      <c r="A40" s="37" t="s">
        <v>50</v>
      </c>
      <c r="B40" s="38">
        <v>7.676887207929E12</v>
      </c>
      <c r="C40" s="37" t="s">
        <v>156</v>
      </c>
      <c r="D40" s="37">
        <v>2800.0</v>
      </c>
      <c r="E40" s="17">
        <f t="shared" si="1"/>
        <v>6160</v>
      </c>
      <c r="F40" s="37">
        <v>5990.0</v>
      </c>
      <c r="G40" s="28">
        <f t="shared" si="6"/>
        <v>5990</v>
      </c>
      <c r="H40" s="37">
        <v>3.0</v>
      </c>
      <c r="I40" s="17">
        <f t="shared" si="2"/>
        <v>8400</v>
      </c>
      <c r="J40" s="17">
        <f t="shared" si="3"/>
        <v>18480</v>
      </c>
      <c r="K40" s="27">
        <f t="shared" si="9"/>
        <v>8070</v>
      </c>
      <c r="L40" s="29">
        <f t="shared" si="5"/>
        <v>17970</v>
      </c>
      <c r="M40" s="24">
        <v>3.0</v>
      </c>
    </row>
    <row r="41" ht="14.25" customHeight="1">
      <c r="A41" s="37" t="s">
        <v>50</v>
      </c>
      <c r="B41" s="38">
        <v>15512.0</v>
      </c>
      <c r="C41" s="37" t="s">
        <v>157</v>
      </c>
      <c r="D41" s="37">
        <v>750.0</v>
      </c>
      <c r="E41" s="17">
        <f t="shared" si="1"/>
        <v>1875</v>
      </c>
      <c r="F41" s="37">
        <v>1690.0</v>
      </c>
      <c r="G41" s="28">
        <f t="shared" si="6"/>
        <v>1690</v>
      </c>
      <c r="H41" s="37">
        <v>24.0</v>
      </c>
      <c r="I41" s="17">
        <f t="shared" si="2"/>
        <v>18000</v>
      </c>
      <c r="J41" s="17">
        <f t="shared" si="3"/>
        <v>45000</v>
      </c>
      <c r="K41" s="27">
        <f t="shared" si="9"/>
        <v>81360</v>
      </c>
      <c r="L41" s="29">
        <f t="shared" si="5"/>
        <v>40560</v>
      </c>
      <c r="M41" s="24">
        <v>24.0</v>
      </c>
    </row>
    <row r="42" ht="14.25" customHeight="1">
      <c r="A42" s="37" t="s">
        <v>50</v>
      </c>
      <c r="B42" s="38">
        <v>24049.0</v>
      </c>
      <c r="C42" s="37" t="s">
        <v>158</v>
      </c>
      <c r="D42" s="37">
        <v>2650.0</v>
      </c>
      <c r="E42" s="17">
        <f t="shared" si="1"/>
        <v>5830</v>
      </c>
      <c r="F42" s="37">
        <v>5790.0</v>
      </c>
      <c r="G42" s="28">
        <f t="shared" si="6"/>
        <v>5790</v>
      </c>
      <c r="H42" s="37">
        <v>3.0</v>
      </c>
      <c r="I42" s="17">
        <f t="shared" si="2"/>
        <v>7950</v>
      </c>
      <c r="J42" s="17">
        <f t="shared" si="3"/>
        <v>17490</v>
      </c>
      <c r="K42" s="27">
        <f t="shared" si="9"/>
        <v>8970</v>
      </c>
      <c r="L42" s="29">
        <f t="shared" si="5"/>
        <v>17370</v>
      </c>
      <c r="M42" s="24">
        <v>3.0</v>
      </c>
    </row>
    <row r="43" ht="14.25" customHeight="1">
      <c r="A43" s="37" t="s">
        <v>50</v>
      </c>
      <c r="B43" s="38">
        <v>15955.0</v>
      </c>
      <c r="C43" s="37" t="s">
        <v>159</v>
      </c>
      <c r="D43" s="37">
        <v>650.0</v>
      </c>
      <c r="E43" s="17">
        <f t="shared" si="1"/>
        <v>1625</v>
      </c>
      <c r="F43" s="37">
        <v>1690.0</v>
      </c>
      <c r="G43" s="28">
        <f t="shared" si="6"/>
        <v>1690</v>
      </c>
      <c r="H43" s="37">
        <v>24.0</v>
      </c>
      <c r="I43" s="17">
        <f t="shared" si="2"/>
        <v>15600</v>
      </c>
      <c r="J43" s="17">
        <f t="shared" si="3"/>
        <v>39000</v>
      </c>
      <c r="K43" s="27">
        <f t="shared" si="9"/>
        <v>143760</v>
      </c>
      <c r="L43" s="29">
        <f t="shared" si="5"/>
        <v>40560</v>
      </c>
      <c r="M43" s="24">
        <v>24.0</v>
      </c>
    </row>
    <row r="44" ht="14.25" customHeight="1">
      <c r="A44" s="37" t="s">
        <v>50</v>
      </c>
      <c r="B44" s="38">
        <v>22815.0</v>
      </c>
      <c r="C44" s="37" t="s">
        <v>160</v>
      </c>
      <c r="D44" s="37">
        <v>1400.0</v>
      </c>
      <c r="E44" s="17">
        <f t="shared" si="1"/>
        <v>3080</v>
      </c>
      <c r="F44" s="37">
        <v>3990.0</v>
      </c>
      <c r="G44" s="28">
        <f t="shared" si="6"/>
        <v>3990</v>
      </c>
      <c r="H44" s="37">
        <v>5.0</v>
      </c>
      <c r="I44" s="17">
        <f t="shared" si="2"/>
        <v>7000</v>
      </c>
      <c r="J44" s="17">
        <f t="shared" si="3"/>
        <v>15400</v>
      </c>
      <c r="K44" s="27">
        <f t="shared" si="9"/>
        <v>29950</v>
      </c>
      <c r="L44" s="29">
        <f t="shared" si="5"/>
        <v>19950</v>
      </c>
      <c r="M44" s="24">
        <v>5.0</v>
      </c>
    </row>
    <row r="45" ht="14.25" customHeight="1">
      <c r="A45" s="37" t="s">
        <v>50</v>
      </c>
      <c r="B45" s="38">
        <v>51028.0</v>
      </c>
      <c r="C45" s="37" t="s">
        <v>161</v>
      </c>
      <c r="D45" s="37">
        <v>800.0</v>
      </c>
      <c r="E45" s="17">
        <f t="shared" si="1"/>
        <v>2000</v>
      </c>
      <c r="F45" s="37">
        <v>1590.0</v>
      </c>
      <c r="G45" s="28">
        <f t="shared" si="6"/>
        <v>1590</v>
      </c>
      <c r="H45" s="37">
        <v>10.0</v>
      </c>
      <c r="I45" s="17">
        <f t="shared" si="2"/>
        <v>8000</v>
      </c>
      <c r="J45" s="17">
        <f t="shared" si="3"/>
        <v>20000</v>
      </c>
      <c r="K45" s="27">
        <f t="shared" si="9"/>
        <v>16900</v>
      </c>
      <c r="L45" s="29">
        <f t="shared" si="5"/>
        <v>15900</v>
      </c>
      <c r="M45" s="24">
        <v>10.0</v>
      </c>
    </row>
    <row r="46" ht="14.25" customHeight="1">
      <c r="A46" s="37" t="s">
        <v>50</v>
      </c>
      <c r="B46" s="38">
        <v>51032.0</v>
      </c>
      <c r="C46" s="37" t="s">
        <v>162</v>
      </c>
      <c r="D46" s="37">
        <v>800.0</v>
      </c>
      <c r="E46" s="17">
        <f t="shared" si="1"/>
        <v>2000</v>
      </c>
      <c r="F46" s="37">
        <v>1590.0</v>
      </c>
      <c r="G46" s="28">
        <f t="shared" si="6"/>
        <v>1590</v>
      </c>
      <c r="H46" s="37">
        <v>12.0</v>
      </c>
      <c r="I46" s="17">
        <f t="shared" si="2"/>
        <v>9600</v>
      </c>
      <c r="J46" s="17">
        <f t="shared" si="3"/>
        <v>24000</v>
      </c>
      <c r="K46" s="27">
        <f t="shared" si="9"/>
        <v>69480</v>
      </c>
      <c r="L46" s="29">
        <f t="shared" si="5"/>
        <v>19080</v>
      </c>
      <c r="M46" s="24">
        <v>12.0</v>
      </c>
    </row>
    <row r="47" ht="14.25" customHeight="1">
      <c r="A47" s="37" t="s">
        <v>50</v>
      </c>
      <c r="B47" s="38">
        <v>11409.0</v>
      </c>
      <c r="C47" s="37" t="s">
        <v>163</v>
      </c>
      <c r="D47" s="37">
        <v>750.0</v>
      </c>
      <c r="E47" s="17">
        <f t="shared" si="1"/>
        <v>1875</v>
      </c>
      <c r="F47" s="37">
        <v>1890.0</v>
      </c>
      <c r="G47" s="28">
        <f t="shared" si="6"/>
        <v>1890</v>
      </c>
      <c r="H47" s="37">
        <v>6.0</v>
      </c>
      <c r="I47" s="17">
        <f t="shared" si="2"/>
        <v>4500</v>
      </c>
      <c r="J47" s="17">
        <f t="shared" si="3"/>
        <v>11250</v>
      </c>
      <c r="K47" s="27">
        <f t="shared" si="9"/>
        <v>10140</v>
      </c>
      <c r="L47" s="29">
        <f t="shared" si="5"/>
        <v>11340</v>
      </c>
      <c r="M47" s="24">
        <v>6.0</v>
      </c>
      <c r="N47" s="37" t="s">
        <v>164</v>
      </c>
    </row>
    <row r="48" ht="14.25" customHeight="1">
      <c r="A48" s="17" t="s">
        <v>165</v>
      </c>
      <c r="B48" s="26" t="s">
        <v>166</v>
      </c>
      <c r="C48" s="31" t="s">
        <v>167</v>
      </c>
      <c r="D48" s="17">
        <v>1900.0</v>
      </c>
      <c r="E48" s="17">
        <f t="shared" si="1"/>
        <v>4180</v>
      </c>
      <c r="F48" s="36">
        <v>3890.0</v>
      </c>
      <c r="G48" s="28">
        <f t="shared" si="6"/>
        <v>3890</v>
      </c>
      <c r="H48" s="37">
        <v>11.0</v>
      </c>
      <c r="I48" s="17">
        <f t="shared" si="2"/>
        <v>20900</v>
      </c>
      <c r="J48" s="17">
        <f t="shared" si="3"/>
        <v>45980</v>
      </c>
      <c r="K48" s="27">
        <f t="shared" ref="K48:K50" si="10">F48*H48</f>
        <v>42790</v>
      </c>
      <c r="L48" s="29">
        <f t="shared" si="5"/>
        <v>42790</v>
      </c>
      <c r="M48" s="34">
        <f>VLOOKUP($B48,bodega!A:C,3,0)</f>
        <v>5</v>
      </c>
    </row>
    <row r="49" ht="14.25" customHeight="1">
      <c r="A49" s="17" t="s">
        <v>165</v>
      </c>
      <c r="B49" s="26">
        <v>6265.0</v>
      </c>
      <c r="C49" s="31" t="s">
        <v>168</v>
      </c>
      <c r="D49" s="17">
        <v>2000.0</v>
      </c>
      <c r="E49" s="17">
        <f t="shared" si="1"/>
        <v>4400</v>
      </c>
      <c r="F49" s="36">
        <v>3990.0</v>
      </c>
      <c r="G49" s="28">
        <f t="shared" si="6"/>
        <v>3990</v>
      </c>
      <c r="H49" s="17">
        <v>10.0</v>
      </c>
      <c r="I49" s="17">
        <f t="shared" si="2"/>
        <v>20000</v>
      </c>
      <c r="J49" s="17">
        <f t="shared" si="3"/>
        <v>44000</v>
      </c>
      <c r="K49" s="27">
        <f t="shared" si="10"/>
        <v>39900</v>
      </c>
      <c r="L49" s="29">
        <f t="shared" si="5"/>
        <v>39900</v>
      </c>
      <c r="M49" s="34">
        <f>VLOOKUP($B49,bodega!A:C,3,0)</f>
        <v>10</v>
      </c>
    </row>
    <row r="50" ht="14.25" customHeight="1">
      <c r="A50" s="17" t="s">
        <v>165</v>
      </c>
      <c r="B50" s="26" t="s">
        <v>76</v>
      </c>
      <c r="C50" s="31" t="s">
        <v>169</v>
      </c>
      <c r="D50" s="17">
        <v>1000.0</v>
      </c>
      <c r="E50" s="17">
        <f t="shared" si="1"/>
        <v>2200</v>
      </c>
      <c r="F50" s="36">
        <v>2990.0</v>
      </c>
      <c r="G50" s="28">
        <f t="shared" si="6"/>
        <v>2990</v>
      </c>
      <c r="H50" s="37">
        <v>11.0</v>
      </c>
      <c r="I50" s="17">
        <f t="shared" si="2"/>
        <v>11000</v>
      </c>
      <c r="J50" s="17">
        <f t="shared" si="3"/>
        <v>24200</v>
      </c>
      <c r="K50" s="27">
        <f t="shared" si="10"/>
        <v>32890</v>
      </c>
      <c r="L50" s="29">
        <f t="shared" si="5"/>
        <v>32890</v>
      </c>
      <c r="M50" s="34">
        <f>VLOOKUP($B50,bodega!A:C,3,0)</f>
        <v>9</v>
      </c>
    </row>
    <row r="51" ht="15.0" customHeight="1">
      <c r="A51" s="17" t="s">
        <v>165</v>
      </c>
      <c r="B51" s="26">
        <v>13465.0</v>
      </c>
      <c r="C51" s="31" t="s">
        <v>77</v>
      </c>
      <c r="D51" s="17">
        <v>1000.0</v>
      </c>
      <c r="E51" s="17">
        <f t="shared" si="1"/>
        <v>2200</v>
      </c>
      <c r="F51" s="39">
        <v>1990.0</v>
      </c>
      <c r="G51" s="28">
        <f t="shared" si="6"/>
        <v>1990</v>
      </c>
      <c r="H51" s="17">
        <v>15.0</v>
      </c>
      <c r="I51" s="17">
        <f t="shared" si="2"/>
        <v>15000</v>
      </c>
      <c r="J51" s="17">
        <f t="shared" si="3"/>
        <v>33000</v>
      </c>
      <c r="K51" s="27">
        <f t="shared" ref="K51:K54" si="11">F47*H51</f>
        <v>28350</v>
      </c>
      <c r="L51" s="29">
        <f t="shared" si="5"/>
        <v>29850</v>
      </c>
      <c r="M51" s="34">
        <f>VLOOKUP($B51,bodega!A:C,3,0)</f>
        <v>14</v>
      </c>
    </row>
    <row r="52" ht="14.25" customHeight="1">
      <c r="A52" s="40" t="s">
        <v>165</v>
      </c>
      <c r="B52" s="41">
        <v>13935.0</v>
      </c>
      <c r="C52" s="42" t="s">
        <v>170</v>
      </c>
      <c r="D52" s="43">
        <v>2300.0</v>
      </c>
      <c r="E52" s="44">
        <f t="shared" si="1"/>
        <v>5060</v>
      </c>
      <c r="F52" s="42">
        <v>4990.0</v>
      </c>
      <c r="G52" s="45">
        <f t="shared" si="6"/>
        <v>4990</v>
      </c>
      <c r="H52" s="43">
        <v>5.0</v>
      </c>
      <c r="I52" s="44">
        <f t="shared" si="2"/>
        <v>11500</v>
      </c>
      <c r="J52" s="44">
        <f t="shared" si="3"/>
        <v>25300</v>
      </c>
      <c r="K52" s="46">
        <f t="shared" si="11"/>
        <v>19450</v>
      </c>
      <c r="L52" s="47">
        <f t="shared" si="5"/>
        <v>24950</v>
      </c>
      <c r="M52" s="24">
        <v>5.0</v>
      </c>
    </row>
    <row r="53" ht="14.25" customHeight="1">
      <c r="A53" s="40" t="s">
        <v>165</v>
      </c>
      <c r="B53" s="38">
        <v>13517.0</v>
      </c>
      <c r="C53" s="37" t="s">
        <v>171</v>
      </c>
      <c r="D53" s="37">
        <v>2400.0</v>
      </c>
      <c r="E53" s="17">
        <f t="shared" si="1"/>
        <v>5280</v>
      </c>
      <c r="F53" s="37">
        <v>5290.0</v>
      </c>
      <c r="G53" s="28">
        <f t="shared" si="6"/>
        <v>5290</v>
      </c>
      <c r="H53" s="37">
        <v>3.0</v>
      </c>
      <c r="I53" s="17">
        <f t="shared" si="2"/>
        <v>7200</v>
      </c>
      <c r="J53" s="17">
        <f t="shared" si="3"/>
        <v>15840</v>
      </c>
      <c r="K53" s="27">
        <f t="shared" si="11"/>
        <v>11970</v>
      </c>
      <c r="L53" s="29">
        <f t="shared" si="5"/>
        <v>15870</v>
      </c>
      <c r="M53" s="24">
        <v>3.0</v>
      </c>
    </row>
    <row r="54" ht="14.25" customHeight="1">
      <c r="A54" s="40" t="s">
        <v>165</v>
      </c>
      <c r="B54" s="48">
        <v>6242.0</v>
      </c>
      <c r="C54" s="37" t="s">
        <v>172</v>
      </c>
      <c r="D54" s="37">
        <v>1500.0</v>
      </c>
      <c r="E54" s="17">
        <f t="shared" si="1"/>
        <v>3300</v>
      </c>
      <c r="F54" s="37">
        <v>2990.0</v>
      </c>
      <c r="G54" s="28">
        <f t="shared" si="6"/>
        <v>2990</v>
      </c>
      <c r="H54" s="37">
        <v>2.0</v>
      </c>
      <c r="I54" s="17">
        <f t="shared" si="2"/>
        <v>3000</v>
      </c>
      <c r="J54" s="17">
        <f t="shared" si="3"/>
        <v>6600</v>
      </c>
      <c r="K54" s="27">
        <f t="shared" si="11"/>
        <v>5980</v>
      </c>
      <c r="L54" s="29">
        <f t="shared" si="5"/>
        <v>5980</v>
      </c>
      <c r="M54" s="24">
        <v>2.0</v>
      </c>
    </row>
    <row r="55" ht="15.0" customHeight="1">
      <c r="A55" s="49" t="s">
        <v>173</v>
      </c>
      <c r="B55" s="50">
        <v>423722.0</v>
      </c>
      <c r="C55" s="51" t="s">
        <v>174</v>
      </c>
      <c r="D55" s="52">
        <v>9990.0</v>
      </c>
      <c r="E55" s="52">
        <f t="shared" si="1"/>
        <v>19980</v>
      </c>
      <c r="F55" s="36">
        <v>19990.0</v>
      </c>
      <c r="G55" s="28">
        <f t="shared" si="6"/>
        <v>19990</v>
      </c>
      <c r="H55" s="52">
        <v>1.0</v>
      </c>
      <c r="I55" s="52">
        <f t="shared" si="2"/>
        <v>9990</v>
      </c>
      <c r="J55" s="52">
        <f t="shared" si="3"/>
        <v>19980</v>
      </c>
      <c r="K55" s="53">
        <f t="shared" ref="K55:K72" si="12">F55*H55</f>
        <v>19990</v>
      </c>
      <c r="L55" s="54">
        <f t="shared" si="5"/>
        <v>19990</v>
      </c>
      <c r="M55" s="34">
        <f>VLOOKUP($B55,bodega!A:C,3,0)</f>
        <v>1</v>
      </c>
    </row>
    <row r="56" ht="14.25" customHeight="1">
      <c r="A56" s="55" t="s">
        <v>173</v>
      </c>
      <c r="B56" s="30">
        <v>423524.0</v>
      </c>
      <c r="C56" s="31" t="s">
        <v>175</v>
      </c>
      <c r="D56" s="17">
        <v>990.0</v>
      </c>
      <c r="E56" s="52">
        <f t="shared" si="1"/>
        <v>2475</v>
      </c>
      <c r="F56" s="36">
        <v>1990.0</v>
      </c>
      <c r="G56" s="28">
        <f t="shared" si="6"/>
        <v>1990</v>
      </c>
      <c r="H56" s="17">
        <v>5.0</v>
      </c>
      <c r="I56" s="52">
        <f t="shared" si="2"/>
        <v>4950</v>
      </c>
      <c r="J56" s="52">
        <f t="shared" si="3"/>
        <v>12375</v>
      </c>
      <c r="K56" s="53">
        <f t="shared" si="12"/>
        <v>9950</v>
      </c>
      <c r="L56" s="54">
        <f t="shared" si="5"/>
        <v>9950</v>
      </c>
      <c r="M56" s="56">
        <f>VLOOKUP($B56,bodega!A:C,3,0)</f>
        <v>5</v>
      </c>
    </row>
    <row r="57" ht="14.25" customHeight="1">
      <c r="A57" s="55" t="s">
        <v>173</v>
      </c>
      <c r="B57" s="30">
        <v>571010.0</v>
      </c>
      <c r="C57" s="31" t="s">
        <v>176</v>
      </c>
      <c r="D57" s="55">
        <v>990.0</v>
      </c>
      <c r="E57" s="57">
        <f t="shared" si="1"/>
        <v>2475</v>
      </c>
      <c r="F57" s="36">
        <v>1990.0</v>
      </c>
      <c r="G57" s="28">
        <f t="shared" si="6"/>
        <v>1990</v>
      </c>
      <c r="H57" s="55">
        <v>6.0</v>
      </c>
      <c r="I57" s="57">
        <f t="shared" si="2"/>
        <v>5940</v>
      </c>
      <c r="J57" s="57">
        <f t="shared" si="3"/>
        <v>14850</v>
      </c>
      <c r="K57" s="53">
        <f t="shared" si="12"/>
        <v>11940</v>
      </c>
      <c r="L57" s="54">
        <f t="shared" si="5"/>
        <v>11940</v>
      </c>
      <c r="M57" s="56">
        <f>VLOOKUP($B57,bodega!A:C,3,0)</f>
        <v>6</v>
      </c>
    </row>
    <row r="58" ht="14.25" customHeight="1">
      <c r="A58" s="55" t="s">
        <v>173</v>
      </c>
      <c r="B58" s="30">
        <v>423395.0</v>
      </c>
      <c r="C58" s="31" t="s">
        <v>177</v>
      </c>
      <c r="D58" s="55">
        <v>1990.0</v>
      </c>
      <c r="E58" s="57">
        <f t="shared" si="1"/>
        <v>4378</v>
      </c>
      <c r="F58" s="36">
        <v>3990.0</v>
      </c>
      <c r="G58" s="28">
        <f t="shared" si="6"/>
        <v>3990</v>
      </c>
      <c r="H58" s="55">
        <v>6.0</v>
      </c>
      <c r="I58" s="57">
        <f t="shared" si="2"/>
        <v>11940</v>
      </c>
      <c r="J58" s="57">
        <f t="shared" si="3"/>
        <v>26268</v>
      </c>
      <c r="K58" s="53">
        <f t="shared" si="12"/>
        <v>23940</v>
      </c>
      <c r="L58" s="54">
        <f t="shared" si="5"/>
        <v>23940</v>
      </c>
      <c r="M58" s="56">
        <f>VLOOKUP($B58,bodega!A:C,3,0)</f>
        <v>6</v>
      </c>
    </row>
    <row r="59" ht="14.25" customHeight="1">
      <c r="A59" s="17" t="s">
        <v>178</v>
      </c>
      <c r="B59" s="26" t="s">
        <v>179</v>
      </c>
      <c r="C59" s="31" t="s">
        <v>180</v>
      </c>
      <c r="D59" s="17">
        <v>1200.0</v>
      </c>
      <c r="E59" s="52">
        <f t="shared" si="1"/>
        <v>2640</v>
      </c>
      <c r="F59" s="36">
        <v>2490.0</v>
      </c>
      <c r="G59" s="28">
        <f t="shared" si="6"/>
        <v>2490</v>
      </c>
      <c r="H59" s="17">
        <v>12.0</v>
      </c>
      <c r="I59" s="52">
        <f t="shared" si="2"/>
        <v>14400</v>
      </c>
      <c r="J59" s="52">
        <f t="shared" si="3"/>
        <v>31680</v>
      </c>
      <c r="K59" s="53">
        <f t="shared" si="12"/>
        <v>29880</v>
      </c>
      <c r="L59" s="54">
        <f t="shared" si="5"/>
        <v>29880</v>
      </c>
      <c r="M59" s="56">
        <f>VLOOKUP($B59,bodega!A:C,3,0)</f>
        <v>11</v>
      </c>
    </row>
    <row r="60" ht="14.25" customHeight="1">
      <c r="A60" s="17" t="s">
        <v>178</v>
      </c>
      <c r="B60" s="26" t="s">
        <v>69</v>
      </c>
      <c r="C60" s="31" t="s">
        <v>181</v>
      </c>
      <c r="D60" s="17">
        <v>2200.0</v>
      </c>
      <c r="E60" s="52">
        <f t="shared" si="1"/>
        <v>4840</v>
      </c>
      <c r="F60" s="36">
        <v>4990.0</v>
      </c>
      <c r="G60" s="33">
        <v>4990.0</v>
      </c>
      <c r="H60" s="17">
        <v>12.0</v>
      </c>
      <c r="I60" s="52">
        <f t="shared" si="2"/>
        <v>26400</v>
      </c>
      <c r="J60" s="52">
        <f t="shared" si="3"/>
        <v>58080</v>
      </c>
      <c r="K60" s="53">
        <f t="shared" si="12"/>
        <v>59880</v>
      </c>
      <c r="L60" s="54">
        <f t="shared" si="5"/>
        <v>59880</v>
      </c>
      <c r="M60" s="56">
        <f>VLOOKUP($B60,bodega!A:C,3,0)</f>
        <v>11</v>
      </c>
    </row>
    <row r="61" ht="14.25" customHeight="1">
      <c r="A61" s="17" t="s">
        <v>178</v>
      </c>
      <c r="B61" s="26" t="s">
        <v>182</v>
      </c>
      <c r="C61" s="31" t="s">
        <v>183</v>
      </c>
      <c r="D61" s="17">
        <v>2100.0</v>
      </c>
      <c r="E61" s="52">
        <f t="shared" si="1"/>
        <v>4620</v>
      </c>
      <c r="F61" s="36">
        <v>4990.0</v>
      </c>
      <c r="G61" s="33">
        <v>4990.0</v>
      </c>
      <c r="H61" s="17">
        <v>12.0</v>
      </c>
      <c r="I61" s="52">
        <f t="shared" si="2"/>
        <v>25200</v>
      </c>
      <c r="J61" s="52">
        <f t="shared" si="3"/>
        <v>55440</v>
      </c>
      <c r="K61" s="53">
        <f t="shared" si="12"/>
        <v>59880</v>
      </c>
      <c r="L61" s="54">
        <f t="shared" si="5"/>
        <v>59880</v>
      </c>
      <c r="M61" s="56">
        <f>VLOOKUP($B61,bodega!A:C,3,0)</f>
        <v>12</v>
      </c>
    </row>
    <row r="62" ht="14.25" customHeight="1">
      <c r="A62" s="17" t="s">
        <v>178</v>
      </c>
      <c r="B62" s="26" t="s">
        <v>71</v>
      </c>
      <c r="C62" s="31" t="s">
        <v>184</v>
      </c>
      <c r="D62" s="17">
        <v>2800.0</v>
      </c>
      <c r="E62" s="52">
        <f t="shared" si="1"/>
        <v>6160</v>
      </c>
      <c r="F62" s="36">
        <v>4990.0</v>
      </c>
      <c r="G62" s="28">
        <f t="shared" ref="G62:G77" si="13">IF(AND(F62&gt;=1000, MOD(F62,1000)&lt;=90), (INT(F62/1000)*1000)-10, ROUNDUP(MAX(0,F62-90),-2)+90)</f>
        <v>4990</v>
      </c>
      <c r="H62" s="17">
        <v>12.0</v>
      </c>
      <c r="I62" s="52">
        <f t="shared" si="2"/>
        <v>33600</v>
      </c>
      <c r="J62" s="52">
        <f t="shared" si="3"/>
        <v>73920</v>
      </c>
      <c r="K62" s="53">
        <f t="shared" si="12"/>
        <v>59880</v>
      </c>
      <c r="L62" s="54">
        <f t="shared" si="5"/>
        <v>59880</v>
      </c>
      <c r="M62" s="56">
        <f>VLOOKUP($B62,bodega!A:C,3,0)</f>
        <v>11</v>
      </c>
    </row>
    <row r="63" ht="14.25" customHeight="1">
      <c r="A63" s="17" t="s">
        <v>178</v>
      </c>
      <c r="B63" s="26" t="s">
        <v>185</v>
      </c>
      <c r="C63" s="31" t="s">
        <v>186</v>
      </c>
      <c r="D63" s="17">
        <v>2100.0</v>
      </c>
      <c r="E63" s="52">
        <f t="shared" si="1"/>
        <v>4620</v>
      </c>
      <c r="F63" s="36">
        <v>1990.0</v>
      </c>
      <c r="G63" s="28">
        <f t="shared" si="13"/>
        <v>1990</v>
      </c>
      <c r="H63" s="17">
        <v>12.0</v>
      </c>
      <c r="I63" s="52">
        <f t="shared" si="2"/>
        <v>25200</v>
      </c>
      <c r="J63" s="52">
        <f t="shared" si="3"/>
        <v>55440</v>
      </c>
      <c r="K63" s="53">
        <f t="shared" si="12"/>
        <v>23880</v>
      </c>
      <c r="L63" s="54">
        <f t="shared" si="5"/>
        <v>23880</v>
      </c>
      <c r="M63" s="56">
        <f>VLOOKUP($B63,bodega!A:C,3,0)</f>
        <v>12</v>
      </c>
    </row>
    <row r="64" ht="14.25" customHeight="1">
      <c r="A64" s="17" t="s">
        <v>178</v>
      </c>
      <c r="B64" s="26" t="s">
        <v>187</v>
      </c>
      <c r="C64" s="31" t="s">
        <v>188</v>
      </c>
      <c r="D64" s="17">
        <v>1600.0</v>
      </c>
      <c r="E64" s="52">
        <f t="shared" si="1"/>
        <v>3520</v>
      </c>
      <c r="F64" s="36">
        <v>3290.0</v>
      </c>
      <c r="G64" s="28">
        <f t="shared" si="13"/>
        <v>3290</v>
      </c>
      <c r="H64" s="17">
        <v>12.0</v>
      </c>
      <c r="I64" s="52">
        <f t="shared" si="2"/>
        <v>19200</v>
      </c>
      <c r="J64" s="52">
        <f t="shared" si="3"/>
        <v>42240</v>
      </c>
      <c r="K64" s="53">
        <f t="shared" si="12"/>
        <v>39480</v>
      </c>
      <c r="L64" s="54">
        <f t="shared" si="5"/>
        <v>39480</v>
      </c>
      <c r="M64" s="56">
        <f>VLOOKUP($B64,bodega!A:C,3,0)</f>
        <v>12</v>
      </c>
    </row>
    <row r="65" ht="14.25" customHeight="1">
      <c r="A65" s="17" t="s">
        <v>189</v>
      </c>
      <c r="B65" s="30">
        <v>1010.0</v>
      </c>
      <c r="C65" s="31" t="s">
        <v>190</v>
      </c>
      <c r="D65" s="17">
        <v>4800.0</v>
      </c>
      <c r="E65" s="52">
        <f t="shared" si="1"/>
        <v>10560</v>
      </c>
      <c r="F65" s="36">
        <v>9690.0</v>
      </c>
      <c r="G65" s="28">
        <f t="shared" si="13"/>
        <v>9690</v>
      </c>
      <c r="H65" s="37">
        <v>6.0</v>
      </c>
      <c r="I65" s="52">
        <f t="shared" si="2"/>
        <v>28800</v>
      </c>
      <c r="J65" s="52">
        <f t="shared" si="3"/>
        <v>63360</v>
      </c>
      <c r="K65" s="53">
        <f t="shared" si="12"/>
        <v>58140</v>
      </c>
      <c r="L65" s="54">
        <f t="shared" si="5"/>
        <v>58140</v>
      </c>
      <c r="M65" s="56">
        <f>VLOOKUP($B65,bodega!A:C,3,0)</f>
        <v>2</v>
      </c>
    </row>
    <row r="66" ht="14.25" customHeight="1">
      <c r="A66" s="17" t="s">
        <v>189</v>
      </c>
      <c r="B66" s="30">
        <v>3030.0</v>
      </c>
      <c r="C66" s="31" t="s">
        <v>191</v>
      </c>
      <c r="D66" s="17">
        <v>1000.0</v>
      </c>
      <c r="E66" s="52">
        <f t="shared" si="1"/>
        <v>2200</v>
      </c>
      <c r="F66" s="36">
        <v>1990.0</v>
      </c>
      <c r="G66" s="28">
        <f t="shared" si="13"/>
        <v>1990</v>
      </c>
      <c r="H66" s="17">
        <v>3.0</v>
      </c>
      <c r="I66" s="52">
        <f t="shared" si="2"/>
        <v>3000</v>
      </c>
      <c r="J66" s="52">
        <f t="shared" si="3"/>
        <v>6600</v>
      </c>
      <c r="K66" s="53">
        <f t="shared" si="12"/>
        <v>5970</v>
      </c>
      <c r="L66" s="54">
        <f t="shared" si="5"/>
        <v>5970</v>
      </c>
      <c r="M66" s="56">
        <f>VLOOKUP($B66,bodega!A:C,3,0)</f>
        <v>3</v>
      </c>
    </row>
    <row r="67" ht="14.25" customHeight="1">
      <c r="A67" s="17" t="s">
        <v>189</v>
      </c>
      <c r="B67" s="30">
        <v>5050.0</v>
      </c>
      <c r="C67" s="31" t="s">
        <v>192</v>
      </c>
      <c r="D67" s="17">
        <v>750.0</v>
      </c>
      <c r="E67" s="52">
        <f t="shared" si="1"/>
        <v>1875</v>
      </c>
      <c r="F67" s="36">
        <v>1590.0</v>
      </c>
      <c r="G67" s="28">
        <f t="shared" si="13"/>
        <v>1590</v>
      </c>
      <c r="H67" s="17">
        <v>3.0</v>
      </c>
      <c r="I67" s="52">
        <f t="shared" si="2"/>
        <v>2250</v>
      </c>
      <c r="J67" s="52">
        <f t="shared" si="3"/>
        <v>5625</v>
      </c>
      <c r="K67" s="53">
        <f t="shared" si="12"/>
        <v>4770</v>
      </c>
      <c r="L67" s="54">
        <f t="shared" si="5"/>
        <v>4770</v>
      </c>
      <c r="M67" s="56">
        <f>VLOOKUP($B67,bodega!A:C,3,0)</f>
        <v>3</v>
      </c>
    </row>
    <row r="68" ht="14.25" customHeight="1">
      <c r="A68" s="17" t="s">
        <v>189</v>
      </c>
      <c r="B68" s="30">
        <v>2020.0</v>
      </c>
      <c r="C68" s="31" t="s">
        <v>193</v>
      </c>
      <c r="D68" s="17">
        <v>2000.0</v>
      </c>
      <c r="E68" s="52">
        <f t="shared" si="1"/>
        <v>4400</v>
      </c>
      <c r="F68" s="36">
        <v>3990.0</v>
      </c>
      <c r="G68" s="28">
        <f t="shared" si="13"/>
        <v>3990</v>
      </c>
      <c r="H68" s="37">
        <v>9.0</v>
      </c>
      <c r="I68" s="52">
        <f t="shared" si="2"/>
        <v>18000</v>
      </c>
      <c r="J68" s="52">
        <f t="shared" si="3"/>
        <v>39600</v>
      </c>
      <c r="K68" s="53">
        <f t="shared" si="12"/>
        <v>35910</v>
      </c>
      <c r="L68" s="54">
        <f t="shared" si="5"/>
        <v>35910</v>
      </c>
      <c r="M68" s="56">
        <f>VLOOKUP($B68,bodega!A:C,3,0)</f>
        <v>6</v>
      </c>
    </row>
    <row r="69" ht="14.25" customHeight="1">
      <c r="A69" s="17" t="s">
        <v>189</v>
      </c>
      <c r="B69" s="30">
        <v>4040.0</v>
      </c>
      <c r="C69" s="31" t="s">
        <v>194</v>
      </c>
      <c r="D69" s="17">
        <v>2300.0</v>
      </c>
      <c r="E69" s="52">
        <f t="shared" si="1"/>
        <v>5060</v>
      </c>
      <c r="F69" s="36">
        <v>4690.0</v>
      </c>
      <c r="G69" s="28">
        <f t="shared" si="13"/>
        <v>4690</v>
      </c>
      <c r="H69" s="17">
        <v>6.0</v>
      </c>
      <c r="I69" s="52">
        <f t="shared" si="2"/>
        <v>13800</v>
      </c>
      <c r="J69" s="52">
        <f t="shared" si="3"/>
        <v>30360</v>
      </c>
      <c r="K69" s="53">
        <f t="shared" si="12"/>
        <v>28140</v>
      </c>
      <c r="L69" s="54">
        <f t="shared" si="5"/>
        <v>28140</v>
      </c>
      <c r="M69" s="56">
        <f>VLOOKUP($B69,bodega!A:C,3,0)</f>
        <v>6</v>
      </c>
    </row>
    <row r="70" ht="14.25" customHeight="1">
      <c r="A70" s="17" t="s">
        <v>189</v>
      </c>
      <c r="B70" s="30">
        <v>7070.0</v>
      </c>
      <c r="C70" s="31" t="s">
        <v>195</v>
      </c>
      <c r="D70" s="17">
        <v>2000.0</v>
      </c>
      <c r="E70" s="52">
        <f t="shared" si="1"/>
        <v>4400</v>
      </c>
      <c r="F70" s="36">
        <v>3990.0</v>
      </c>
      <c r="G70" s="28">
        <f t="shared" si="13"/>
        <v>3990</v>
      </c>
      <c r="H70" s="17">
        <v>6.0</v>
      </c>
      <c r="I70" s="52">
        <f t="shared" si="2"/>
        <v>12000</v>
      </c>
      <c r="J70" s="52">
        <f t="shared" si="3"/>
        <v>26400</v>
      </c>
      <c r="K70" s="53">
        <f t="shared" si="12"/>
        <v>23940</v>
      </c>
      <c r="L70" s="54">
        <f t="shared" si="5"/>
        <v>23940</v>
      </c>
      <c r="M70" s="56">
        <f>VLOOKUP($B70,bodega!A:C,3,0)</f>
        <v>6</v>
      </c>
    </row>
    <row r="71" ht="14.25" customHeight="1">
      <c r="A71" s="17" t="s">
        <v>189</v>
      </c>
      <c r="B71" s="30">
        <v>6060.0</v>
      </c>
      <c r="C71" s="31" t="s">
        <v>196</v>
      </c>
      <c r="D71" s="17">
        <v>1000.0</v>
      </c>
      <c r="E71" s="52">
        <f t="shared" si="1"/>
        <v>2200</v>
      </c>
      <c r="F71" s="36">
        <v>2990.0</v>
      </c>
      <c r="G71" s="28">
        <f t="shared" si="13"/>
        <v>2990</v>
      </c>
      <c r="H71" s="17">
        <v>10.0</v>
      </c>
      <c r="I71" s="52">
        <f t="shared" si="2"/>
        <v>10000</v>
      </c>
      <c r="J71" s="52">
        <f t="shared" si="3"/>
        <v>22000</v>
      </c>
      <c r="K71" s="53">
        <f t="shared" si="12"/>
        <v>29900</v>
      </c>
      <c r="L71" s="54">
        <f t="shared" si="5"/>
        <v>29900</v>
      </c>
      <c r="M71" s="56">
        <f>VLOOKUP($B71,bodega!A:C,3,0)</f>
        <v>8</v>
      </c>
    </row>
    <row r="72" ht="14.25" customHeight="1">
      <c r="A72" s="17" t="s">
        <v>189</v>
      </c>
      <c r="B72" s="38">
        <v>3131.0</v>
      </c>
      <c r="C72" s="58" t="s">
        <v>197</v>
      </c>
      <c r="D72" s="37">
        <v>950.0</v>
      </c>
      <c r="E72" s="52">
        <f t="shared" si="1"/>
        <v>2375</v>
      </c>
      <c r="F72" s="32">
        <v>1990.0</v>
      </c>
      <c r="G72" s="28">
        <f t="shared" si="13"/>
        <v>1990</v>
      </c>
      <c r="H72" s="37">
        <v>12.0</v>
      </c>
      <c r="I72" s="52"/>
      <c r="J72" s="52">
        <f t="shared" si="3"/>
        <v>28500</v>
      </c>
      <c r="K72" s="53">
        <f t="shared" si="12"/>
        <v>23880</v>
      </c>
      <c r="L72" s="54">
        <f t="shared" si="5"/>
        <v>23880</v>
      </c>
      <c r="M72" s="56">
        <f>VLOOKUP($B72,bodega!A:C,3,0)</f>
        <v>9</v>
      </c>
    </row>
    <row r="73" ht="14.25" customHeight="1">
      <c r="A73" s="37" t="s">
        <v>189</v>
      </c>
      <c r="B73" s="38">
        <v>826840.0</v>
      </c>
      <c r="C73" s="37" t="s">
        <v>198</v>
      </c>
      <c r="D73" s="37">
        <v>1200.0</v>
      </c>
      <c r="E73" s="52">
        <f t="shared" si="1"/>
        <v>2640</v>
      </c>
      <c r="F73" s="37">
        <v>2690.0</v>
      </c>
      <c r="G73" s="28">
        <f t="shared" si="13"/>
        <v>2690</v>
      </c>
      <c r="H73" s="37">
        <v>4.0</v>
      </c>
      <c r="I73" s="52">
        <f t="shared" ref="I73:I75" si="14">$D73*$H73</f>
        <v>4800</v>
      </c>
      <c r="J73" s="52">
        <f t="shared" si="3"/>
        <v>10560</v>
      </c>
      <c r="K73" s="53">
        <f t="shared" ref="K73:K75" si="15">F69*H73</f>
        <v>18760</v>
      </c>
      <c r="L73" s="54">
        <f t="shared" si="5"/>
        <v>10760</v>
      </c>
      <c r="M73" s="56">
        <f>VLOOKUP($B73,bodega!A:C,3,0)</f>
        <v>4</v>
      </c>
    </row>
    <row r="74" ht="14.25" customHeight="1">
      <c r="A74" s="37" t="s">
        <v>189</v>
      </c>
      <c r="B74" s="38">
        <v>39756.0</v>
      </c>
      <c r="C74" s="37" t="s">
        <v>199</v>
      </c>
      <c r="D74" s="37">
        <v>1000.0</v>
      </c>
      <c r="E74" s="52">
        <f t="shared" si="1"/>
        <v>2200</v>
      </c>
      <c r="F74" s="37">
        <v>2990.0</v>
      </c>
      <c r="G74" s="28">
        <f t="shared" si="13"/>
        <v>2990</v>
      </c>
      <c r="H74" s="37">
        <v>3.0</v>
      </c>
      <c r="I74" s="52">
        <f t="shared" si="14"/>
        <v>3000</v>
      </c>
      <c r="J74" s="52">
        <f t="shared" si="3"/>
        <v>6600</v>
      </c>
      <c r="K74" s="53">
        <f t="shared" si="15"/>
        <v>11970</v>
      </c>
      <c r="L74" s="54">
        <f t="shared" si="5"/>
        <v>8970</v>
      </c>
      <c r="M74" s="56">
        <f>VLOOKUP($B74,bodega!A:C,3,0)</f>
        <v>3</v>
      </c>
    </row>
    <row r="75" ht="14.25" customHeight="1">
      <c r="A75" s="37" t="s">
        <v>200</v>
      </c>
      <c r="B75" s="38">
        <v>61508.0</v>
      </c>
      <c r="C75" s="37" t="s">
        <v>201</v>
      </c>
      <c r="D75" s="37">
        <v>4350.0</v>
      </c>
      <c r="E75" s="52">
        <f t="shared" si="1"/>
        <v>9570</v>
      </c>
      <c r="F75" s="37">
        <v>8590.0</v>
      </c>
      <c r="G75" s="28">
        <f t="shared" si="13"/>
        <v>8590</v>
      </c>
      <c r="H75" s="37">
        <v>4.0</v>
      </c>
      <c r="I75" s="52">
        <f t="shared" si="14"/>
        <v>17400</v>
      </c>
      <c r="J75" s="52">
        <f t="shared" si="3"/>
        <v>38280</v>
      </c>
      <c r="K75" s="53">
        <f t="shared" si="15"/>
        <v>11960</v>
      </c>
      <c r="L75" s="54">
        <f t="shared" si="5"/>
        <v>34360</v>
      </c>
      <c r="M75" s="56">
        <f>VLOOKUP($B75,bodega!A:C,3,0)</f>
        <v>2</v>
      </c>
    </row>
    <row r="76" ht="14.25" customHeight="1">
      <c r="A76" s="37" t="s">
        <v>202</v>
      </c>
      <c r="B76" s="38" t="s">
        <v>203</v>
      </c>
      <c r="C76" s="37" t="s">
        <v>204</v>
      </c>
      <c r="D76" s="37">
        <v>12600.0</v>
      </c>
      <c r="E76" s="52">
        <f t="shared" si="1"/>
        <v>25200</v>
      </c>
      <c r="F76" s="37">
        <v>15000.0</v>
      </c>
      <c r="G76" s="28">
        <f t="shared" si="13"/>
        <v>14990</v>
      </c>
      <c r="H76" s="37">
        <v>6.0</v>
      </c>
      <c r="M76" s="56">
        <f>VLOOKUP($B76,bodega!A:C,3,0)</f>
        <v>3</v>
      </c>
    </row>
    <row r="77" ht="14.25" customHeight="1">
      <c r="A77" s="37" t="s">
        <v>202</v>
      </c>
      <c r="B77" s="38">
        <v>52507.0</v>
      </c>
      <c r="C77" s="37" t="s">
        <v>205</v>
      </c>
      <c r="D77" s="37">
        <v>13680.0</v>
      </c>
      <c r="E77" s="52">
        <f t="shared" si="1"/>
        <v>27360</v>
      </c>
      <c r="F77" s="37">
        <v>25000.0</v>
      </c>
      <c r="G77" s="28">
        <f t="shared" si="13"/>
        <v>24990</v>
      </c>
      <c r="H77" s="37">
        <v>5.0</v>
      </c>
      <c r="M77" s="56">
        <f>VLOOKUP($B77,bodega!A:C,3,0)</f>
        <v>-1</v>
      </c>
    </row>
    <row r="78" ht="14.25" customHeight="1">
      <c r="B78" s="26"/>
    </row>
    <row r="79" ht="14.25" customHeight="1">
      <c r="B79" s="26"/>
    </row>
    <row r="80" ht="14.25" customHeight="1">
      <c r="B80" s="26"/>
    </row>
    <row r="81" ht="14.25" customHeight="1">
      <c r="B81" s="26"/>
    </row>
    <row r="82" ht="14.25" customHeight="1">
      <c r="B82" s="26"/>
    </row>
    <row r="83" ht="14.25" customHeight="1">
      <c r="B83" s="26"/>
    </row>
    <row r="84" ht="14.25" customHeight="1">
      <c r="B84" s="26"/>
    </row>
    <row r="85" ht="14.25" customHeight="1">
      <c r="B85" s="26"/>
    </row>
    <row r="86" ht="14.25" customHeight="1">
      <c r="B86" s="26"/>
    </row>
    <row r="87" ht="14.25" customHeight="1">
      <c r="B87" s="26"/>
    </row>
    <row r="88" ht="14.25" customHeight="1">
      <c r="B88" s="26"/>
    </row>
    <row r="89" ht="14.25" customHeight="1">
      <c r="B89" s="26"/>
    </row>
    <row r="90" ht="14.25" customHeight="1">
      <c r="B90" s="26"/>
    </row>
    <row r="91" ht="14.25" customHeight="1">
      <c r="B91" s="26"/>
    </row>
    <row r="92" ht="14.25" customHeight="1">
      <c r="B92" s="26"/>
    </row>
    <row r="93" ht="14.25" customHeight="1">
      <c r="B93" s="26"/>
    </row>
    <row r="94" ht="14.25" customHeight="1">
      <c r="B94" s="26"/>
    </row>
    <row r="95" ht="14.25" customHeight="1">
      <c r="B95" s="26"/>
    </row>
    <row r="96" ht="14.25" customHeight="1">
      <c r="B96" s="26"/>
    </row>
    <row r="97" ht="14.25" customHeight="1">
      <c r="B97" s="26"/>
    </row>
    <row r="98" ht="14.25" customHeight="1">
      <c r="B98" s="26"/>
    </row>
    <row r="99" ht="14.25" customHeight="1">
      <c r="B99" s="26"/>
    </row>
    <row r="100" ht="14.25" customHeight="1">
      <c r="B100" s="26"/>
    </row>
    <row r="101" ht="14.25" customHeight="1">
      <c r="B101" s="26"/>
    </row>
    <row r="102" ht="14.25" customHeight="1">
      <c r="B102" s="26"/>
    </row>
    <row r="103" ht="14.25" customHeight="1">
      <c r="B103" s="26"/>
    </row>
    <row r="104" ht="14.25" customHeight="1">
      <c r="B104" s="26"/>
    </row>
    <row r="105" ht="14.25" customHeight="1">
      <c r="B105" s="26"/>
    </row>
    <row r="106" ht="14.25" customHeight="1">
      <c r="B106" s="26"/>
    </row>
    <row r="107" ht="14.25" customHeight="1">
      <c r="B107" s="26"/>
    </row>
    <row r="108" ht="14.25" customHeight="1">
      <c r="B108" s="26"/>
    </row>
    <row r="109" ht="14.25" customHeight="1">
      <c r="B109" s="26"/>
    </row>
    <row r="110" ht="14.25" customHeight="1">
      <c r="B110" s="26"/>
    </row>
    <row r="111" ht="14.25" customHeight="1">
      <c r="B111" s="26"/>
    </row>
    <row r="112" ht="14.25" customHeight="1">
      <c r="B112" s="26"/>
    </row>
    <row r="113" ht="14.25" customHeight="1">
      <c r="B113" s="26"/>
    </row>
    <row r="114" ht="14.25" customHeight="1">
      <c r="B114" s="26"/>
    </row>
    <row r="115" ht="14.25" customHeight="1">
      <c r="B115" s="26"/>
    </row>
    <row r="116" ht="14.25" customHeight="1">
      <c r="B116" s="26"/>
    </row>
    <row r="117" ht="14.25" customHeight="1">
      <c r="B117" s="26"/>
    </row>
    <row r="118" ht="14.25" customHeight="1">
      <c r="B118" s="26"/>
    </row>
    <row r="119" ht="14.25" customHeight="1">
      <c r="B119" s="26"/>
    </row>
    <row r="120" ht="14.25" customHeight="1">
      <c r="B120" s="26"/>
    </row>
    <row r="121" ht="14.25" customHeight="1">
      <c r="B121" s="26"/>
    </row>
    <row r="122" ht="14.25" customHeight="1">
      <c r="B122" s="26"/>
    </row>
    <row r="123" ht="14.25" customHeight="1">
      <c r="B123" s="26"/>
    </row>
    <row r="124" ht="14.25" customHeight="1">
      <c r="B124" s="26"/>
    </row>
    <row r="125" ht="14.25" customHeight="1">
      <c r="B125" s="26"/>
    </row>
    <row r="126" ht="14.25" customHeight="1">
      <c r="B126" s="26"/>
    </row>
    <row r="127" ht="14.25" customHeight="1">
      <c r="B127" s="26"/>
    </row>
    <row r="128" ht="14.25" customHeight="1">
      <c r="B128" s="26"/>
    </row>
    <row r="129" ht="14.25" customHeight="1">
      <c r="B129" s="26"/>
    </row>
    <row r="130" ht="14.25" customHeight="1">
      <c r="B130" s="26"/>
    </row>
    <row r="131" ht="14.25" customHeight="1">
      <c r="B131" s="26"/>
    </row>
    <row r="132" ht="14.25" customHeight="1">
      <c r="B132" s="26"/>
    </row>
    <row r="133" ht="14.25" customHeight="1">
      <c r="B133" s="26"/>
    </row>
    <row r="134" ht="14.25" customHeight="1">
      <c r="B134" s="26"/>
    </row>
    <row r="135" ht="14.25" customHeight="1">
      <c r="B135" s="26"/>
    </row>
    <row r="136" ht="14.25" customHeight="1">
      <c r="B136" s="26"/>
    </row>
    <row r="137" ht="14.25" customHeight="1">
      <c r="B137" s="26"/>
    </row>
    <row r="138" ht="14.25" customHeight="1">
      <c r="B138" s="26"/>
    </row>
    <row r="139" ht="14.25" customHeight="1">
      <c r="B139" s="26"/>
    </row>
    <row r="140" ht="14.25" customHeight="1">
      <c r="B140" s="26"/>
    </row>
    <row r="141" ht="14.25" customHeight="1">
      <c r="B141" s="26"/>
    </row>
    <row r="142" ht="14.25" customHeight="1">
      <c r="B142" s="26"/>
    </row>
    <row r="143" ht="14.25" customHeight="1">
      <c r="B143" s="26"/>
    </row>
    <row r="144" ht="14.25" customHeight="1">
      <c r="B144" s="26"/>
    </row>
    <row r="145" ht="14.25" customHeight="1">
      <c r="B145" s="26"/>
    </row>
    <row r="146" ht="14.25" customHeight="1">
      <c r="B146" s="26"/>
    </row>
    <row r="147" ht="14.25" customHeight="1">
      <c r="B147" s="26"/>
    </row>
    <row r="148" ht="14.25" customHeight="1">
      <c r="B148" s="26"/>
    </row>
    <row r="149" ht="14.25" customHeight="1">
      <c r="B149" s="26"/>
    </row>
    <row r="150" ht="14.25" customHeight="1">
      <c r="B150" s="26"/>
    </row>
    <row r="151" ht="14.25" customHeight="1">
      <c r="B151" s="26"/>
    </row>
    <row r="152" ht="14.25" customHeight="1">
      <c r="B152" s="26"/>
    </row>
    <row r="153" ht="14.25" customHeight="1">
      <c r="B153" s="26"/>
    </row>
    <row r="154" ht="14.25" customHeight="1">
      <c r="B154" s="26"/>
    </row>
    <row r="155" ht="14.25" customHeight="1">
      <c r="B155" s="26"/>
    </row>
    <row r="156" ht="14.25" customHeight="1">
      <c r="B156" s="26"/>
    </row>
    <row r="157" ht="14.25" customHeight="1">
      <c r="B157" s="26"/>
    </row>
    <row r="158" ht="14.25" customHeight="1">
      <c r="B158" s="26"/>
    </row>
    <row r="159" ht="14.25" customHeight="1">
      <c r="B159" s="26"/>
    </row>
    <row r="160" ht="14.25" customHeight="1">
      <c r="B160" s="26"/>
    </row>
    <row r="161" ht="14.25" customHeight="1">
      <c r="B161" s="26"/>
    </row>
    <row r="162" ht="14.25" customHeight="1">
      <c r="B162" s="26"/>
    </row>
    <row r="163" ht="14.25" customHeight="1">
      <c r="B163" s="26"/>
    </row>
    <row r="164" ht="14.25" customHeight="1">
      <c r="B164" s="26"/>
    </row>
    <row r="165" ht="14.25" customHeight="1">
      <c r="B165" s="26"/>
    </row>
    <row r="166" ht="14.25" customHeight="1">
      <c r="B166" s="26"/>
    </row>
    <row r="167" ht="14.25" customHeight="1">
      <c r="B167" s="26"/>
    </row>
    <row r="168" ht="14.25" customHeight="1">
      <c r="B168" s="26"/>
    </row>
    <row r="169" ht="14.25" customHeight="1">
      <c r="B169" s="26"/>
    </row>
    <row r="170" ht="14.25" customHeight="1">
      <c r="B170" s="26"/>
    </row>
    <row r="171" ht="14.25" customHeight="1">
      <c r="B171" s="26"/>
    </row>
    <row r="172" ht="14.25" customHeight="1">
      <c r="B172" s="26"/>
    </row>
    <row r="173" ht="14.25" customHeight="1">
      <c r="B173" s="26"/>
    </row>
    <row r="174" ht="14.25" customHeight="1">
      <c r="B174" s="26"/>
    </row>
    <row r="175" ht="14.25" customHeight="1">
      <c r="B175" s="26"/>
    </row>
    <row r="176" ht="14.25" customHeight="1">
      <c r="B176" s="26"/>
    </row>
    <row r="177" ht="14.25" customHeight="1">
      <c r="B177" s="26"/>
    </row>
    <row r="178" ht="14.25" customHeight="1">
      <c r="B178" s="26"/>
    </row>
    <row r="179" ht="14.25" customHeight="1">
      <c r="B179" s="26"/>
    </row>
    <row r="180" ht="14.25" customHeight="1">
      <c r="B180" s="26"/>
    </row>
    <row r="181" ht="14.25" customHeight="1">
      <c r="B181" s="26"/>
    </row>
    <row r="182" ht="14.25" customHeight="1">
      <c r="B182" s="26"/>
    </row>
    <row r="183" ht="14.25" customHeight="1">
      <c r="B183" s="26"/>
    </row>
    <row r="184" ht="14.25" customHeight="1">
      <c r="B184" s="26"/>
    </row>
    <row r="185" ht="14.25" customHeight="1">
      <c r="B185" s="26"/>
    </row>
    <row r="186" ht="14.25" customHeight="1">
      <c r="B186" s="26"/>
    </row>
    <row r="187" ht="14.25" customHeight="1">
      <c r="B187" s="26"/>
    </row>
    <row r="188" ht="14.25" customHeight="1">
      <c r="B188" s="26"/>
    </row>
    <row r="189" ht="14.25" customHeight="1">
      <c r="B189" s="26"/>
    </row>
    <row r="190" ht="14.25" customHeight="1">
      <c r="B190" s="26"/>
    </row>
    <row r="191" ht="14.25" customHeight="1">
      <c r="B191" s="26"/>
    </row>
    <row r="192" ht="14.25" customHeight="1">
      <c r="B192" s="26"/>
    </row>
    <row r="193" ht="14.25" customHeight="1">
      <c r="B193" s="26"/>
    </row>
    <row r="194" ht="14.25" customHeight="1">
      <c r="B194" s="26"/>
    </row>
    <row r="195" ht="14.25" customHeight="1">
      <c r="B195" s="26"/>
    </row>
    <row r="196" ht="14.25" customHeight="1">
      <c r="B196" s="26"/>
    </row>
    <row r="197" ht="14.25" customHeight="1">
      <c r="B197" s="26"/>
    </row>
    <row r="198" ht="14.25" customHeight="1">
      <c r="B198" s="26"/>
    </row>
    <row r="199" ht="14.25" customHeight="1">
      <c r="B199" s="26"/>
    </row>
    <row r="200" ht="14.25" customHeight="1">
      <c r="B200" s="26"/>
    </row>
    <row r="201" ht="14.25" customHeight="1">
      <c r="B201" s="26"/>
    </row>
    <row r="202" ht="14.25" customHeight="1">
      <c r="B202" s="26"/>
    </row>
    <row r="203" ht="14.25" customHeight="1">
      <c r="B203" s="26"/>
    </row>
    <row r="204" ht="14.25" customHeight="1">
      <c r="B204" s="26"/>
    </row>
    <row r="205" ht="14.25" customHeight="1">
      <c r="B205" s="26"/>
    </row>
    <row r="206" ht="14.25" customHeight="1">
      <c r="B206" s="26"/>
    </row>
    <row r="207" ht="14.25" customHeight="1">
      <c r="B207" s="26"/>
    </row>
    <row r="208" ht="14.25" customHeight="1">
      <c r="B208" s="26"/>
    </row>
    <row r="209" ht="14.25" customHeight="1">
      <c r="B209" s="26"/>
    </row>
    <row r="210" ht="14.25" customHeight="1">
      <c r="B210" s="26"/>
    </row>
    <row r="211" ht="14.25" customHeight="1">
      <c r="B211" s="26"/>
    </row>
    <row r="212" ht="14.25" customHeight="1">
      <c r="B212" s="26"/>
    </row>
    <row r="213" ht="14.25" customHeight="1">
      <c r="B213" s="26"/>
    </row>
    <row r="214" ht="14.25" customHeight="1">
      <c r="B214" s="26"/>
    </row>
    <row r="215" ht="14.25" customHeight="1">
      <c r="B215" s="26"/>
    </row>
    <row r="216" ht="14.25" customHeight="1">
      <c r="B216" s="26"/>
    </row>
    <row r="217" ht="14.25" customHeight="1">
      <c r="B217" s="26"/>
    </row>
    <row r="218" ht="14.25" customHeight="1">
      <c r="B218" s="26"/>
    </row>
    <row r="219" ht="14.25" customHeight="1">
      <c r="B219" s="26"/>
    </row>
    <row r="220" ht="14.25" customHeight="1">
      <c r="B220" s="26"/>
    </row>
    <row r="221" ht="14.25" customHeight="1">
      <c r="B221" s="26"/>
    </row>
    <row r="222" ht="14.25" customHeight="1">
      <c r="B222" s="26"/>
    </row>
    <row r="223" ht="14.25" customHeight="1">
      <c r="B223" s="26"/>
    </row>
    <row r="224" ht="14.25" customHeight="1">
      <c r="B224" s="26"/>
    </row>
    <row r="225" ht="14.25" customHeight="1">
      <c r="B225" s="26"/>
    </row>
    <row r="226" ht="14.25" customHeight="1">
      <c r="B226" s="26"/>
    </row>
    <row r="227" ht="14.25" customHeight="1">
      <c r="B227" s="26"/>
    </row>
    <row r="228" ht="14.25" customHeight="1">
      <c r="B228" s="26"/>
    </row>
    <row r="229" ht="14.25" customHeight="1">
      <c r="B229" s="26"/>
    </row>
    <row r="230" ht="14.25" customHeight="1">
      <c r="B230" s="26"/>
    </row>
    <row r="231" ht="14.25" customHeight="1">
      <c r="B231" s="26"/>
    </row>
    <row r="232" ht="14.25" customHeight="1">
      <c r="B232" s="26"/>
    </row>
    <row r="233" ht="14.25" customHeight="1">
      <c r="B233" s="26"/>
    </row>
    <row r="234" ht="14.25" customHeight="1">
      <c r="B234" s="26"/>
    </row>
    <row r="235" ht="14.25" customHeight="1">
      <c r="B235" s="26"/>
    </row>
    <row r="236" ht="14.25" customHeight="1">
      <c r="B236" s="26"/>
    </row>
    <row r="237" ht="14.25" customHeight="1">
      <c r="B237" s="26"/>
    </row>
    <row r="238" ht="14.25" customHeight="1">
      <c r="B238" s="26"/>
    </row>
    <row r="239" ht="14.25" customHeight="1">
      <c r="B239" s="26"/>
    </row>
    <row r="240" ht="14.25" customHeight="1">
      <c r="B240" s="26"/>
    </row>
    <row r="241" ht="14.25" customHeight="1">
      <c r="B241" s="26"/>
    </row>
    <row r="242" ht="14.25" customHeight="1">
      <c r="B242" s="26"/>
    </row>
    <row r="243" ht="14.25" customHeight="1">
      <c r="B243" s="26"/>
    </row>
    <row r="244" ht="14.25" customHeight="1">
      <c r="B244" s="26"/>
    </row>
    <row r="245" ht="14.25" customHeight="1">
      <c r="B245" s="26"/>
    </row>
    <row r="246" ht="14.25" customHeight="1">
      <c r="B246" s="26"/>
    </row>
    <row r="247" ht="14.25" customHeight="1">
      <c r="B247" s="26"/>
    </row>
    <row r="248" ht="14.25" customHeight="1">
      <c r="B248" s="26"/>
    </row>
    <row r="249" ht="14.25" customHeight="1">
      <c r="B249" s="26"/>
    </row>
    <row r="250" ht="14.25" customHeight="1">
      <c r="B250" s="26"/>
    </row>
    <row r="251" ht="14.25" customHeight="1">
      <c r="B251" s="26"/>
    </row>
    <row r="252" ht="14.25" customHeight="1">
      <c r="B252" s="26"/>
    </row>
    <row r="253" ht="14.25" customHeight="1">
      <c r="B253" s="26"/>
    </row>
    <row r="254" ht="14.25" customHeight="1">
      <c r="B254" s="26"/>
    </row>
    <row r="255" ht="14.25" customHeight="1">
      <c r="B255" s="26"/>
    </row>
    <row r="256" ht="14.25" customHeight="1">
      <c r="B256" s="26"/>
    </row>
    <row r="257" ht="14.25" customHeight="1">
      <c r="B257" s="26"/>
    </row>
    <row r="258" ht="14.25" customHeight="1">
      <c r="B258" s="26"/>
    </row>
    <row r="259" ht="14.25" customHeight="1">
      <c r="B259" s="26"/>
    </row>
    <row r="260" ht="14.25" customHeight="1">
      <c r="B260" s="26"/>
    </row>
    <row r="261" ht="14.25" customHeight="1">
      <c r="B261" s="26"/>
    </row>
    <row r="262" ht="14.25" customHeight="1">
      <c r="B262" s="26"/>
    </row>
    <row r="263" ht="14.25" customHeight="1">
      <c r="B263" s="26"/>
    </row>
    <row r="264" ht="14.25" customHeight="1">
      <c r="B264" s="26"/>
    </row>
    <row r="265" ht="14.25" customHeight="1">
      <c r="B265" s="26"/>
    </row>
    <row r="266" ht="14.25" customHeight="1">
      <c r="B266" s="26"/>
    </row>
    <row r="267" ht="14.25" customHeight="1">
      <c r="B267" s="26"/>
    </row>
    <row r="268" ht="14.25" customHeight="1">
      <c r="B268" s="26"/>
    </row>
    <row r="269" ht="14.25" customHeight="1">
      <c r="B269" s="26"/>
    </row>
    <row r="270" ht="14.25" customHeight="1">
      <c r="B270" s="26"/>
    </row>
    <row r="271" ht="14.25" customHeight="1">
      <c r="B271" s="26"/>
    </row>
    <row r="272" ht="14.25" customHeight="1">
      <c r="B272" s="26"/>
    </row>
    <row r="273" ht="14.25" customHeight="1">
      <c r="B273" s="26"/>
    </row>
    <row r="274" ht="14.25" customHeight="1">
      <c r="B274" s="26"/>
    </row>
    <row r="275" ht="14.25" customHeight="1">
      <c r="B275" s="26"/>
    </row>
    <row r="276" ht="14.25" customHeight="1">
      <c r="B276" s="26"/>
    </row>
    <row r="277" ht="14.25" customHeight="1">
      <c r="B277" s="26"/>
    </row>
    <row r="278" ht="14.25" customHeight="1">
      <c r="B278" s="26"/>
    </row>
    <row r="279" ht="14.25" customHeight="1">
      <c r="B279" s="26"/>
    </row>
    <row r="280" ht="14.25" customHeight="1">
      <c r="B280" s="26"/>
    </row>
    <row r="281" ht="14.25" customHeight="1">
      <c r="B281" s="26"/>
    </row>
    <row r="282" ht="14.25" customHeight="1">
      <c r="B282" s="26"/>
    </row>
    <row r="283" ht="14.25" customHeight="1">
      <c r="B283" s="26"/>
    </row>
    <row r="284" ht="14.25" customHeight="1">
      <c r="B284" s="26"/>
    </row>
    <row r="285" ht="14.25" customHeight="1">
      <c r="B285" s="26"/>
    </row>
    <row r="286" ht="14.25" customHeight="1">
      <c r="B286" s="26"/>
    </row>
    <row r="287" ht="14.25" customHeight="1">
      <c r="B287" s="26"/>
    </row>
    <row r="288" ht="14.25" customHeight="1">
      <c r="B288" s="26"/>
    </row>
    <row r="289" ht="14.25" customHeight="1">
      <c r="B289" s="26"/>
    </row>
    <row r="290" ht="14.25" customHeight="1">
      <c r="B290" s="26"/>
    </row>
    <row r="291" ht="14.25" customHeight="1">
      <c r="B291" s="26"/>
    </row>
    <row r="292" ht="14.25" customHeight="1">
      <c r="B292" s="26"/>
    </row>
    <row r="293" ht="14.25" customHeight="1">
      <c r="B293" s="26"/>
    </row>
    <row r="294" ht="14.25" customHeight="1">
      <c r="B294" s="26"/>
    </row>
    <row r="295" ht="14.25" customHeight="1">
      <c r="B295" s="26"/>
    </row>
    <row r="296" ht="14.25" customHeight="1">
      <c r="B296" s="26"/>
    </row>
    <row r="297" ht="14.25" customHeight="1">
      <c r="B297" s="26"/>
    </row>
    <row r="298" ht="14.25" customHeight="1">
      <c r="B298" s="26"/>
    </row>
    <row r="299" ht="14.25" customHeight="1">
      <c r="B299" s="26"/>
    </row>
    <row r="300" ht="14.25" customHeight="1">
      <c r="B300" s="26"/>
    </row>
    <row r="301" ht="14.25" customHeight="1">
      <c r="B301" s="26"/>
    </row>
    <row r="302" ht="14.25" customHeight="1">
      <c r="B302" s="26"/>
    </row>
    <row r="303" ht="14.25" customHeight="1">
      <c r="B303" s="26"/>
    </row>
    <row r="304" ht="14.25" customHeight="1">
      <c r="B304" s="26"/>
    </row>
    <row r="305" ht="14.25" customHeight="1">
      <c r="B305" s="26"/>
    </row>
    <row r="306" ht="14.25" customHeight="1">
      <c r="B306" s="26"/>
    </row>
    <row r="307" ht="14.25" customHeight="1">
      <c r="B307" s="26"/>
    </row>
    <row r="308" ht="14.25" customHeight="1">
      <c r="B308" s="26"/>
    </row>
    <row r="309" ht="14.25" customHeight="1">
      <c r="B309" s="26"/>
    </row>
    <row r="310" ht="14.25" customHeight="1">
      <c r="B310" s="26"/>
    </row>
    <row r="311" ht="14.25" customHeight="1">
      <c r="B311" s="26"/>
    </row>
    <row r="312" ht="14.25" customHeight="1">
      <c r="B312" s="26"/>
    </row>
    <row r="313" ht="14.25" customHeight="1">
      <c r="B313" s="26"/>
    </row>
    <row r="314" ht="14.25" customHeight="1">
      <c r="B314" s="26"/>
    </row>
    <row r="315" ht="14.25" customHeight="1">
      <c r="B315" s="26"/>
    </row>
    <row r="316" ht="14.25" customHeight="1">
      <c r="B316" s="26"/>
    </row>
    <row r="317" ht="14.25" customHeight="1">
      <c r="B317" s="26"/>
    </row>
    <row r="318" ht="14.25" customHeight="1">
      <c r="B318" s="26"/>
    </row>
    <row r="319" ht="14.25" customHeight="1">
      <c r="B319" s="26"/>
    </row>
    <row r="320" ht="14.25" customHeight="1">
      <c r="B320" s="26"/>
    </row>
    <row r="321" ht="14.25" customHeight="1">
      <c r="B321" s="26"/>
    </row>
    <row r="322" ht="14.25" customHeight="1">
      <c r="B322" s="26"/>
    </row>
    <row r="323" ht="14.25" customHeight="1">
      <c r="B323" s="26"/>
    </row>
    <row r="324" ht="14.25" customHeight="1">
      <c r="B324" s="26"/>
    </row>
    <row r="325" ht="14.25" customHeight="1">
      <c r="B325" s="26"/>
    </row>
    <row r="326" ht="14.25" customHeight="1">
      <c r="B326" s="26"/>
    </row>
    <row r="327" ht="14.25" customHeight="1">
      <c r="B327" s="26"/>
    </row>
    <row r="328" ht="14.25" customHeight="1">
      <c r="B328" s="26"/>
    </row>
    <row r="329" ht="14.25" customHeight="1">
      <c r="B329" s="26"/>
    </row>
    <row r="330" ht="14.25" customHeight="1">
      <c r="B330" s="26"/>
    </row>
    <row r="331" ht="14.25" customHeight="1">
      <c r="B331" s="26"/>
    </row>
    <row r="332" ht="14.25" customHeight="1">
      <c r="B332" s="26"/>
    </row>
    <row r="333" ht="14.25" customHeight="1">
      <c r="B333" s="26"/>
    </row>
    <row r="334" ht="14.25" customHeight="1">
      <c r="B334" s="26"/>
    </row>
    <row r="335" ht="14.25" customHeight="1">
      <c r="B335" s="26"/>
    </row>
    <row r="336" ht="14.25" customHeight="1">
      <c r="B336" s="26"/>
    </row>
    <row r="337" ht="14.25" customHeight="1">
      <c r="B337" s="26"/>
    </row>
    <row r="338" ht="14.25" customHeight="1">
      <c r="B338" s="26"/>
    </row>
    <row r="339" ht="14.25" customHeight="1">
      <c r="B339" s="26"/>
    </row>
    <row r="340" ht="14.25" customHeight="1">
      <c r="B340" s="26"/>
    </row>
    <row r="341" ht="14.25" customHeight="1">
      <c r="B341" s="26"/>
    </row>
    <row r="342" ht="14.25" customHeight="1">
      <c r="B342" s="26"/>
    </row>
    <row r="343" ht="14.25" customHeight="1">
      <c r="B343" s="26"/>
    </row>
    <row r="344" ht="14.25" customHeight="1">
      <c r="B344" s="26"/>
    </row>
    <row r="345" ht="14.25" customHeight="1">
      <c r="B345" s="26"/>
    </row>
    <row r="346" ht="14.25" customHeight="1">
      <c r="B346" s="26"/>
    </row>
    <row r="347" ht="14.25" customHeight="1">
      <c r="B347" s="26"/>
    </row>
    <row r="348" ht="14.25" customHeight="1">
      <c r="B348" s="26"/>
    </row>
    <row r="349" ht="14.25" customHeight="1">
      <c r="B349" s="26"/>
    </row>
    <row r="350" ht="14.25" customHeight="1">
      <c r="B350" s="26"/>
    </row>
    <row r="351" ht="14.25" customHeight="1">
      <c r="B351" s="26"/>
    </row>
    <row r="352" ht="14.25" customHeight="1">
      <c r="B352" s="26"/>
    </row>
    <row r="353" ht="14.25" customHeight="1">
      <c r="B353" s="26"/>
    </row>
    <row r="354" ht="14.25" customHeight="1">
      <c r="B354" s="26"/>
    </row>
    <row r="355" ht="14.25" customHeight="1">
      <c r="B355" s="26"/>
    </row>
    <row r="356" ht="14.25" customHeight="1">
      <c r="B356" s="26"/>
    </row>
    <row r="357" ht="14.25" customHeight="1">
      <c r="B357" s="26"/>
    </row>
    <row r="358" ht="14.25" customHeight="1">
      <c r="B358" s="26"/>
    </row>
    <row r="359" ht="14.25" customHeight="1">
      <c r="B359" s="26"/>
    </row>
    <row r="360" ht="14.25" customHeight="1">
      <c r="B360" s="26"/>
    </row>
    <row r="361" ht="14.25" customHeight="1">
      <c r="B361" s="26"/>
    </row>
    <row r="362" ht="14.25" customHeight="1">
      <c r="B362" s="26"/>
    </row>
    <row r="363" ht="14.25" customHeight="1">
      <c r="B363" s="26"/>
    </row>
    <row r="364" ht="14.25" customHeight="1">
      <c r="B364" s="26"/>
    </row>
    <row r="365" ht="14.25" customHeight="1">
      <c r="B365" s="26"/>
    </row>
    <row r="366" ht="14.25" customHeight="1">
      <c r="B366" s="26"/>
    </row>
    <row r="367" ht="14.25" customHeight="1">
      <c r="B367" s="26"/>
    </row>
    <row r="368" ht="14.25" customHeight="1">
      <c r="B368" s="26"/>
    </row>
    <row r="369" ht="14.25" customHeight="1">
      <c r="B369" s="26"/>
    </row>
    <row r="370" ht="14.25" customHeight="1">
      <c r="B370" s="26"/>
    </row>
    <row r="371" ht="14.25" customHeight="1">
      <c r="B371" s="26"/>
    </row>
    <row r="372" ht="14.25" customHeight="1">
      <c r="B372" s="26"/>
    </row>
    <row r="373" ht="14.25" customHeight="1">
      <c r="B373" s="26"/>
    </row>
    <row r="374" ht="14.25" customHeight="1">
      <c r="B374" s="26"/>
    </row>
    <row r="375" ht="14.25" customHeight="1">
      <c r="B375" s="26"/>
    </row>
    <row r="376" ht="14.25" customHeight="1">
      <c r="B376" s="26"/>
    </row>
    <row r="377" ht="14.25" customHeight="1">
      <c r="B377" s="26"/>
    </row>
    <row r="378" ht="14.25" customHeight="1">
      <c r="B378" s="26"/>
    </row>
    <row r="379" ht="14.25" customHeight="1">
      <c r="B379" s="26"/>
    </row>
    <row r="380" ht="14.25" customHeight="1">
      <c r="B380" s="26"/>
    </row>
    <row r="381" ht="14.25" customHeight="1">
      <c r="B381" s="26"/>
    </row>
    <row r="382" ht="14.25" customHeight="1">
      <c r="B382" s="26"/>
    </row>
    <row r="383" ht="14.25" customHeight="1">
      <c r="B383" s="26"/>
    </row>
    <row r="384" ht="14.25" customHeight="1">
      <c r="B384" s="26"/>
    </row>
    <row r="385" ht="14.25" customHeight="1">
      <c r="B385" s="26"/>
    </row>
    <row r="386" ht="14.25" customHeight="1">
      <c r="B386" s="26"/>
    </row>
    <row r="387" ht="14.25" customHeight="1">
      <c r="B387" s="26"/>
    </row>
    <row r="388" ht="14.25" customHeight="1">
      <c r="B388" s="26"/>
    </row>
    <row r="389" ht="14.25" customHeight="1">
      <c r="B389" s="26"/>
    </row>
    <row r="390" ht="14.25" customHeight="1">
      <c r="B390" s="26"/>
    </row>
    <row r="391" ht="14.25" customHeight="1">
      <c r="B391" s="26"/>
    </row>
    <row r="392" ht="14.25" customHeight="1">
      <c r="B392" s="26"/>
    </row>
    <row r="393" ht="14.25" customHeight="1">
      <c r="B393" s="26"/>
    </row>
    <row r="394" ht="14.25" customHeight="1">
      <c r="B394" s="26"/>
    </row>
    <row r="395" ht="14.25" customHeight="1">
      <c r="B395" s="26"/>
    </row>
    <row r="396" ht="14.25" customHeight="1">
      <c r="B396" s="26"/>
    </row>
    <row r="397" ht="14.25" customHeight="1">
      <c r="B397" s="26"/>
    </row>
    <row r="398" ht="14.25" customHeight="1">
      <c r="B398" s="26"/>
    </row>
    <row r="399" ht="14.25" customHeight="1">
      <c r="B399" s="26"/>
    </row>
    <row r="400" ht="14.25" customHeight="1">
      <c r="B400" s="26"/>
    </row>
    <row r="401" ht="14.25" customHeight="1">
      <c r="B401" s="26"/>
    </row>
    <row r="402" ht="14.25" customHeight="1">
      <c r="B402" s="26"/>
    </row>
    <row r="403" ht="14.25" customHeight="1">
      <c r="B403" s="26"/>
    </row>
    <row r="404" ht="14.25" customHeight="1">
      <c r="B404" s="26"/>
    </row>
    <row r="405" ht="14.25" customHeight="1">
      <c r="B405" s="26"/>
    </row>
    <row r="406" ht="14.25" customHeight="1">
      <c r="B406" s="26"/>
    </row>
    <row r="407" ht="14.25" customHeight="1">
      <c r="B407" s="26"/>
    </row>
    <row r="408" ht="14.25" customHeight="1">
      <c r="B408" s="26"/>
    </row>
    <row r="409" ht="14.25" customHeight="1">
      <c r="B409" s="26"/>
    </row>
    <row r="410" ht="14.25" customHeight="1">
      <c r="B410" s="26"/>
    </row>
    <row r="411" ht="14.25" customHeight="1">
      <c r="B411" s="26"/>
    </row>
    <row r="412" ht="14.25" customHeight="1">
      <c r="B412" s="26"/>
    </row>
    <row r="413" ht="14.25" customHeight="1">
      <c r="B413" s="26"/>
    </row>
    <row r="414" ht="14.25" customHeight="1">
      <c r="B414" s="26"/>
    </row>
    <row r="415" ht="14.25" customHeight="1">
      <c r="B415" s="26"/>
    </row>
    <row r="416" ht="14.25" customHeight="1">
      <c r="B416" s="26"/>
    </row>
    <row r="417" ht="14.25" customHeight="1">
      <c r="B417" s="26"/>
    </row>
    <row r="418" ht="14.25" customHeight="1">
      <c r="B418" s="26"/>
    </row>
    <row r="419" ht="14.25" customHeight="1">
      <c r="B419" s="26"/>
    </row>
    <row r="420" ht="14.25" customHeight="1">
      <c r="B420" s="26"/>
    </row>
    <row r="421" ht="14.25" customHeight="1">
      <c r="B421" s="26"/>
    </row>
    <row r="422" ht="14.25" customHeight="1">
      <c r="B422" s="26"/>
    </row>
    <row r="423" ht="14.25" customHeight="1">
      <c r="B423" s="26"/>
    </row>
    <row r="424" ht="14.25" customHeight="1">
      <c r="B424" s="26"/>
    </row>
    <row r="425" ht="14.25" customHeight="1">
      <c r="B425" s="26"/>
    </row>
    <row r="426" ht="14.25" customHeight="1">
      <c r="B426" s="26"/>
    </row>
    <row r="427" ht="14.25" customHeight="1">
      <c r="B427" s="26"/>
    </row>
    <row r="428" ht="14.25" customHeight="1">
      <c r="B428" s="26"/>
    </row>
    <row r="429" ht="14.25" customHeight="1">
      <c r="B429" s="26"/>
    </row>
    <row r="430" ht="14.25" customHeight="1">
      <c r="B430" s="26"/>
    </row>
    <row r="431" ht="14.25" customHeight="1">
      <c r="B431" s="26"/>
    </row>
    <row r="432" ht="14.25" customHeight="1">
      <c r="B432" s="26"/>
    </row>
    <row r="433" ht="14.25" customHeight="1">
      <c r="B433" s="26"/>
    </row>
    <row r="434" ht="14.25" customHeight="1">
      <c r="B434" s="26"/>
    </row>
    <row r="435" ht="14.25" customHeight="1">
      <c r="B435" s="26"/>
    </row>
    <row r="436" ht="14.25" customHeight="1">
      <c r="B436" s="26"/>
    </row>
    <row r="437" ht="14.25" customHeight="1">
      <c r="B437" s="26"/>
    </row>
    <row r="438" ht="14.25" customHeight="1">
      <c r="B438" s="26"/>
    </row>
    <row r="439" ht="14.25" customHeight="1">
      <c r="B439" s="26"/>
    </row>
    <row r="440" ht="14.25" customHeight="1">
      <c r="B440" s="26"/>
    </row>
    <row r="441" ht="14.25" customHeight="1">
      <c r="B441" s="26"/>
    </row>
    <row r="442" ht="14.25" customHeight="1">
      <c r="B442" s="26"/>
    </row>
    <row r="443" ht="14.25" customHeight="1">
      <c r="B443" s="26"/>
    </row>
    <row r="444" ht="14.25" customHeight="1">
      <c r="B444" s="26"/>
    </row>
    <row r="445" ht="14.25" customHeight="1">
      <c r="B445" s="26"/>
    </row>
    <row r="446" ht="14.25" customHeight="1">
      <c r="B446" s="26"/>
    </row>
    <row r="447" ht="14.25" customHeight="1">
      <c r="B447" s="26"/>
    </row>
    <row r="448" ht="14.25" customHeight="1">
      <c r="B448" s="26"/>
    </row>
    <row r="449" ht="14.25" customHeight="1">
      <c r="B449" s="26"/>
    </row>
    <row r="450" ht="14.25" customHeight="1">
      <c r="B450" s="26"/>
    </row>
    <row r="451" ht="14.25" customHeight="1">
      <c r="B451" s="26"/>
    </row>
    <row r="452" ht="14.25" customHeight="1">
      <c r="B452" s="26"/>
    </row>
    <row r="453" ht="14.25" customHeight="1">
      <c r="B453" s="26"/>
    </row>
    <row r="454" ht="14.25" customHeight="1">
      <c r="B454" s="26"/>
    </row>
    <row r="455" ht="14.25" customHeight="1">
      <c r="B455" s="26"/>
    </row>
    <row r="456" ht="14.25" customHeight="1">
      <c r="B456" s="26"/>
    </row>
    <row r="457" ht="14.25" customHeight="1">
      <c r="B457" s="26"/>
    </row>
    <row r="458" ht="14.25" customHeight="1">
      <c r="B458" s="26"/>
    </row>
    <row r="459" ht="14.25" customHeight="1">
      <c r="B459" s="26"/>
    </row>
    <row r="460" ht="14.25" customHeight="1">
      <c r="B460" s="26"/>
    </row>
    <row r="461" ht="14.25" customHeight="1">
      <c r="B461" s="26"/>
    </row>
    <row r="462" ht="14.25" customHeight="1">
      <c r="B462" s="26"/>
    </row>
    <row r="463" ht="14.25" customHeight="1">
      <c r="B463" s="26"/>
    </row>
    <row r="464" ht="14.25" customHeight="1">
      <c r="B464" s="26"/>
    </row>
    <row r="465" ht="14.25" customHeight="1">
      <c r="B465" s="26"/>
    </row>
    <row r="466" ht="14.25" customHeight="1">
      <c r="B466" s="26"/>
    </row>
    <row r="467" ht="14.25" customHeight="1">
      <c r="B467" s="26"/>
    </row>
    <row r="468" ht="14.25" customHeight="1">
      <c r="B468" s="26"/>
    </row>
    <row r="469" ht="14.25" customHeight="1">
      <c r="B469" s="26"/>
    </row>
    <row r="470" ht="14.25" customHeight="1">
      <c r="B470" s="26"/>
    </row>
    <row r="471" ht="14.25" customHeight="1">
      <c r="B471" s="26"/>
    </row>
    <row r="472" ht="14.25" customHeight="1">
      <c r="B472" s="26"/>
    </row>
    <row r="473" ht="14.25" customHeight="1">
      <c r="B473" s="26"/>
    </row>
    <row r="474" ht="14.25" customHeight="1">
      <c r="B474" s="26"/>
    </row>
    <row r="475" ht="14.25" customHeight="1">
      <c r="B475" s="26"/>
    </row>
    <row r="476" ht="14.25" customHeight="1">
      <c r="B476" s="26"/>
    </row>
    <row r="477" ht="14.25" customHeight="1">
      <c r="B477" s="26"/>
    </row>
    <row r="478" ht="14.25" customHeight="1">
      <c r="B478" s="26"/>
    </row>
    <row r="479" ht="14.25" customHeight="1">
      <c r="B479" s="26"/>
    </row>
    <row r="480" ht="14.25" customHeight="1">
      <c r="B480" s="26"/>
    </row>
    <row r="481" ht="14.25" customHeight="1">
      <c r="B481" s="26"/>
    </row>
    <row r="482" ht="14.25" customHeight="1">
      <c r="B482" s="26"/>
    </row>
    <row r="483" ht="14.25" customHeight="1">
      <c r="B483" s="26"/>
    </row>
    <row r="484" ht="14.25" customHeight="1">
      <c r="B484" s="26"/>
    </row>
    <row r="485" ht="14.25" customHeight="1">
      <c r="B485" s="26"/>
    </row>
    <row r="486" ht="14.25" customHeight="1">
      <c r="B486" s="26"/>
    </row>
    <row r="487" ht="14.25" customHeight="1">
      <c r="B487" s="26"/>
    </row>
    <row r="488" ht="14.25" customHeight="1">
      <c r="B488" s="26"/>
    </row>
    <row r="489" ht="14.25" customHeight="1">
      <c r="B489" s="26"/>
    </row>
    <row r="490" ht="14.25" customHeight="1">
      <c r="B490" s="26"/>
    </row>
    <row r="491" ht="14.25" customHeight="1">
      <c r="B491" s="26"/>
    </row>
    <row r="492" ht="14.25" customHeight="1">
      <c r="B492" s="26"/>
    </row>
    <row r="493" ht="14.25" customHeight="1">
      <c r="B493" s="26"/>
    </row>
    <row r="494" ht="14.25" customHeight="1">
      <c r="B494" s="26"/>
    </row>
    <row r="495" ht="14.25" customHeight="1">
      <c r="B495" s="26"/>
    </row>
    <row r="496" ht="14.25" customHeight="1">
      <c r="B496" s="26"/>
    </row>
    <row r="497" ht="14.25" customHeight="1">
      <c r="B497" s="26"/>
    </row>
    <row r="498" ht="14.25" customHeight="1">
      <c r="B498" s="26"/>
    </row>
    <row r="499" ht="14.25" customHeight="1">
      <c r="B499" s="26"/>
    </row>
    <row r="500" ht="14.25" customHeight="1">
      <c r="B500" s="26"/>
    </row>
    <row r="501" ht="14.25" customHeight="1">
      <c r="B501" s="26"/>
    </row>
    <row r="502" ht="14.25" customHeight="1">
      <c r="B502" s="26"/>
    </row>
    <row r="503" ht="14.25" customHeight="1">
      <c r="B503" s="26"/>
    </row>
    <row r="504" ht="14.25" customHeight="1">
      <c r="B504" s="26"/>
    </row>
    <row r="505" ht="14.25" customHeight="1">
      <c r="B505" s="26"/>
    </row>
    <row r="506" ht="14.25" customHeight="1">
      <c r="B506" s="26"/>
    </row>
    <row r="507" ht="14.25" customHeight="1">
      <c r="B507" s="26"/>
    </row>
    <row r="508" ht="14.25" customHeight="1">
      <c r="B508" s="26"/>
    </row>
    <row r="509" ht="14.25" customHeight="1">
      <c r="B509" s="26"/>
    </row>
    <row r="510" ht="14.25" customHeight="1">
      <c r="B510" s="26"/>
    </row>
    <row r="511" ht="14.25" customHeight="1">
      <c r="B511" s="26"/>
    </row>
    <row r="512" ht="14.25" customHeight="1">
      <c r="B512" s="26"/>
    </row>
    <row r="513" ht="14.25" customHeight="1">
      <c r="B513" s="26"/>
    </row>
    <row r="514" ht="14.25" customHeight="1">
      <c r="B514" s="26"/>
    </row>
    <row r="515" ht="14.25" customHeight="1">
      <c r="B515" s="26"/>
    </row>
    <row r="516" ht="14.25" customHeight="1">
      <c r="B516" s="26"/>
    </row>
    <row r="517" ht="14.25" customHeight="1">
      <c r="B517" s="26"/>
    </row>
    <row r="518" ht="14.25" customHeight="1">
      <c r="B518" s="26"/>
    </row>
    <row r="519" ht="14.25" customHeight="1">
      <c r="B519" s="26"/>
    </row>
    <row r="520" ht="14.25" customHeight="1">
      <c r="B520" s="26"/>
    </row>
    <row r="521" ht="14.25" customHeight="1">
      <c r="B521" s="26"/>
    </row>
    <row r="522" ht="14.25" customHeight="1">
      <c r="B522" s="26"/>
    </row>
    <row r="523" ht="14.25" customHeight="1">
      <c r="B523" s="26"/>
    </row>
    <row r="524" ht="14.25" customHeight="1">
      <c r="B524" s="26"/>
    </row>
    <row r="525" ht="14.25" customHeight="1">
      <c r="B525" s="26"/>
    </row>
    <row r="526" ht="14.25" customHeight="1">
      <c r="B526" s="26"/>
    </row>
    <row r="527" ht="14.25" customHeight="1">
      <c r="B527" s="26"/>
    </row>
    <row r="528" ht="14.25" customHeight="1">
      <c r="B528" s="26"/>
    </row>
    <row r="529" ht="14.25" customHeight="1">
      <c r="B529" s="26"/>
    </row>
    <row r="530" ht="14.25" customHeight="1">
      <c r="B530" s="26"/>
    </row>
    <row r="531" ht="14.25" customHeight="1">
      <c r="B531" s="26"/>
    </row>
    <row r="532" ht="14.25" customHeight="1">
      <c r="B532" s="26"/>
    </row>
    <row r="533" ht="14.25" customHeight="1">
      <c r="B533" s="26"/>
    </row>
    <row r="534" ht="14.25" customHeight="1">
      <c r="B534" s="26"/>
    </row>
    <row r="535" ht="14.25" customHeight="1">
      <c r="B535" s="26"/>
    </row>
    <row r="536" ht="14.25" customHeight="1">
      <c r="B536" s="26"/>
    </row>
    <row r="537" ht="14.25" customHeight="1">
      <c r="B537" s="26"/>
    </row>
    <row r="538" ht="14.25" customHeight="1">
      <c r="B538" s="26"/>
    </row>
    <row r="539" ht="14.25" customHeight="1">
      <c r="B539" s="26"/>
    </row>
    <row r="540" ht="14.25" customHeight="1">
      <c r="B540" s="26"/>
    </row>
    <row r="541" ht="14.25" customHeight="1">
      <c r="B541" s="26"/>
    </row>
    <row r="542" ht="14.25" customHeight="1">
      <c r="B542" s="26"/>
    </row>
    <row r="543" ht="14.25" customHeight="1">
      <c r="B543" s="26"/>
    </row>
    <row r="544" ht="14.25" customHeight="1">
      <c r="B544" s="26"/>
    </row>
    <row r="545" ht="14.25" customHeight="1">
      <c r="B545" s="26"/>
    </row>
    <row r="546" ht="14.25" customHeight="1">
      <c r="B546" s="26"/>
    </row>
    <row r="547" ht="14.25" customHeight="1">
      <c r="B547" s="26"/>
    </row>
    <row r="548" ht="14.25" customHeight="1">
      <c r="B548" s="26"/>
    </row>
    <row r="549" ht="14.25" customHeight="1">
      <c r="B549" s="26"/>
    </row>
    <row r="550" ht="14.25" customHeight="1">
      <c r="B550" s="26"/>
    </row>
    <row r="551" ht="14.25" customHeight="1">
      <c r="B551" s="26"/>
    </row>
    <row r="552" ht="14.25" customHeight="1">
      <c r="B552" s="26"/>
    </row>
    <row r="553" ht="14.25" customHeight="1">
      <c r="B553" s="26"/>
    </row>
    <row r="554" ht="14.25" customHeight="1">
      <c r="B554" s="26"/>
    </row>
    <row r="555" ht="14.25" customHeight="1">
      <c r="B555" s="26"/>
    </row>
    <row r="556" ht="14.25" customHeight="1">
      <c r="B556" s="26"/>
    </row>
    <row r="557" ht="14.25" customHeight="1">
      <c r="B557" s="26"/>
    </row>
    <row r="558" ht="14.25" customHeight="1">
      <c r="B558" s="26"/>
    </row>
    <row r="559" ht="14.25" customHeight="1">
      <c r="B559" s="26"/>
    </row>
    <row r="560" ht="14.25" customHeight="1">
      <c r="B560" s="26"/>
    </row>
    <row r="561" ht="14.25" customHeight="1">
      <c r="B561" s="26"/>
    </row>
    <row r="562" ht="14.25" customHeight="1">
      <c r="B562" s="26"/>
    </row>
    <row r="563" ht="14.25" customHeight="1">
      <c r="B563" s="26"/>
    </row>
    <row r="564" ht="14.25" customHeight="1">
      <c r="B564" s="26"/>
    </row>
    <row r="565" ht="14.25" customHeight="1">
      <c r="B565" s="26"/>
    </row>
    <row r="566" ht="14.25" customHeight="1">
      <c r="B566" s="26"/>
    </row>
    <row r="567" ht="14.25" customHeight="1">
      <c r="B567" s="26"/>
    </row>
    <row r="568" ht="14.25" customHeight="1">
      <c r="B568" s="26"/>
    </row>
    <row r="569" ht="14.25" customHeight="1">
      <c r="B569" s="26"/>
    </row>
    <row r="570" ht="14.25" customHeight="1">
      <c r="B570" s="26"/>
    </row>
    <row r="571" ht="14.25" customHeight="1">
      <c r="B571" s="26"/>
    </row>
    <row r="572" ht="14.25" customHeight="1">
      <c r="B572" s="26"/>
    </row>
    <row r="573" ht="14.25" customHeight="1">
      <c r="B573" s="26"/>
    </row>
    <row r="574" ht="14.25" customHeight="1">
      <c r="B574" s="26"/>
    </row>
    <row r="575" ht="14.25" customHeight="1">
      <c r="B575" s="26"/>
    </row>
    <row r="576" ht="14.25" customHeight="1">
      <c r="B576" s="26"/>
    </row>
    <row r="577" ht="14.25" customHeight="1">
      <c r="B577" s="26"/>
    </row>
    <row r="578" ht="14.25" customHeight="1">
      <c r="B578" s="26"/>
    </row>
    <row r="579" ht="14.25" customHeight="1">
      <c r="B579" s="26"/>
    </row>
    <row r="580" ht="14.25" customHeight="1">
      <c r="B580" s="26"/>
    </row>
    <row r="581" ht="14.25" customHeight="1">
      <c r="B581" s="26"/>
    </row>
    <row r="582" ht="14.25" customHeight="1">
      <c r="B582" s="26"/>
    </row>
    <row r="583" ht="14.25" customHeight="1">
      <c r="B583" s="26"/>
    </row>
    <row r="584" ht="14.25" customHeight="1">
      <c r="B584" s="26"/>
    </row>
    <row r="585" ht="14.25" customHeight="1">
      <c r="B585" s="26"/>
    </row>
    <row r="586" ht="14.25" customHeight="1">
      <c r="B586" s="26"/>
    </row>
    <row r="587" ht="14.25" customHeight="1">
      <c r="B587" s="26"/>
    </row>
    <row r="588" ht="14.25" customHeight="1">
      <c r="B588" s="26"/>
    </row>
    <row r="589" ht="14.25" customHeight="1">
      <c r="B589" s="26"/>
    </row>
    <row r="590" ht="14.25" customHeight="1">
      <c r="B590" s="26"/>
    </row>
    <row r="591" ht="14.25" customHeight="1">
      <c r="B591" s="26"/>
    </row>
    <row r="592" ht="14.25" customHeight="1">
      <c r="B592" s="26"/>
    </row>
    <row r="593" ht="14.25" customHeight="1">
      <c r="B593" s="26"/>
    </row>
    <row r="594" ht="14.25" customHeight="1">
      <c r="B594" s="26"/>
    </row>
    <row r="595" ht="14.25" customHeight="1">
      <c r="B595" s="26"/>
    </row>
    <row r="596" ht="14.25" customHeight="1">
      <c r="B596" s="26"/>
    </row>
    <row r="597" ht="14.25" customHeight="1">
      <c r="B597" s="26"/>
    </row>
    <row r="598" ht="14.25" customHeight="1">
      <c r="B598" s="26"/>
    </row>
    <row r="599" ht="14.25" customHeight="1">
      <c r="B599" s="26"/>
    </row>
    <row r="600" ht="14.25" customHeight="1">
      <c r="B600" s="26"/>
    </row>
    <row r="601" ht="14.25" customHeight="1">
      <c r="B601" s="26"/>
    </row>
    <row r="602" ht="14.25" customHeight="1">
      <c r="B602" s="26"/>
    </row>
    <row r="603" ht="14.25" customHeight="1">
      <c r="B603" s="26"/>
    </row>
    <row r="604" ht="14.25" customHeight="1">
      <c r="B604" s="26"/>
    </row>
    <row r="605" ht="14.25" customHeight="1">
      <c r="B605" s="26"/>
    </row>
    <row r="606" ht="14.25" customHeight="1">
      <c r="B606" s="26"/>
    </row>
    <row r="607" ht="14.25" customHeight="1">
      <c r="B607" s="26"/>
    </row>
    <row r="608" ht="14.25" customHeight="1">
      <c r="B608" s="26"/>
    </row>
    <row r="609" ht="14.25" customHeight="1">
      <c r="B609" s="26"/>
    </row>
    <row r="610" ht="14.25" customHeight="1">
      <c r="B610" s="26"/>
    </row>
    <row r="611" ht="14.25" customHeight="1">
      <c r="B611" s="26"/>
    </row>
    <row r="612" ht="14.25" customHeight="1">
      <c r="B612" s="26"/>
    </row>
    <row r="613" ht="14.25" customHeight="1">
      <c r="B613" s="26"/>
    </row>
    <row r="614" ht="14.25" customHeight="1">
      <c r="B614" s="26"/>
    </row>
    <row r="615" ht="14.25" customHeight="1">
      <c r="B615" s="26"/>
    </row>
    <row r="616" ht="14.25" customHeight="1">
      <c r="B616" s="26"/>
    </row>
    <row r="617" ht="14.25" customHeight="1">
      <c r="B617" s="26"/>
    </row>
    <row r="618" ht="14.25" customHeight="1">
      <c r="B618" s="26"/>
    </row>
    <row r="619" ht="14.25" customHeight="1">
      <c r="B619" s="26"/>
    </row>
    <row r="620" ht="14.25" customHeight="1">
      <c r="B620" s="26"/>
    </row>
    <row r="621" ht="14.25" customHeight="1">
      <c r="B621" s="26"/>
    </row>
    <row r="622" ht="14.25" customHeight="1">
      <c r="B622" s="26"/>
    </row>
    <row r="623" ht="14.25" customHeight="1">
      <c r="B623" s="26"/>
    </row>
    <row r="624" ht="14.25" customHeight="1">
      <c r="B624" s="26"/>
    </row>
    <row r="625" ht="14.25" customHeight="1">
      <c r="B625" s="26"/>
    </row>
    <row r="626" ht="14.25" customHeight="1">
      <c r="B626" s="26"/>
    </row>
    <row r="627" ht="14.25" customHeight="1">
      <c r="B627" s="26"/>
    </row>
    <row r="628" ht="14.25" customHeight="1">
      <c r="B628" s="26"/>
    </row>
    <row r="629" ht="14.25" customHeight="1">
      <c r="B629" s="26"/>
    </row>
    <row r="630" ht="14.25" customHeight="1">
      <c r="B630" s="26"/>
    </row>
    <row r="631" ht="14.25" customHeight="1">
      <c r="B631" s="26"/>
    </row>
    <row r="632" ht="14.25" customHeight="1">
      <c r="B632" s="26"/>
    </row>
    <row r="633" ht="14.25" customHeight="1">
      <c r="B633" s="26"/>
    </row>
    <row r="634" ht="14.25" customHeight="1">
      <c r="B634" s="26"/>
    </row>
    <row r="635" ht="14.25" customHeight="1">
      <c r="B635" s="26"/>
    </row>
    <row r="636" ht="14.25" customHeight="1">
      <c r="B636" s="26"/>
    </row>
    <row r="637" ht="14.25" customHeight="1">
      <c r="B637" s="26"/>
    </row>
    <row r="638" ht="14.25" customHeight="1">
      <c r="B638" s="26"/>
    </row>
    <row r="639" ht="14.25" customHeight="1">
      <c r="B639" s="26"/>
    </row>
    <row r="640" ht="14.25" customHeight="1">
      <c r="B640" s="26"/>
    </row>
    <row r="641" ht="14.25" customHeight="1">
      <c r="B641" s="26"/>
    </row>
    <row r="642" ht="14.25" customHeight="1">
      <c r="B642" s="26"/>
    </row>
    <row r="643" ht="14.25" customHeight="1">
      <c r="B643" s="26"/>
    </row>
    <row r="644" ht="14.25" customHeight="1">
      <c r="B644" s="26"/>
    </row>
    <row r="645" ht="14.25" customHeight="1">
      <c r="B645" s="26"/>
    </row>
    <row r="646" ht="14.25" customHeight="1">
      <c r="B646" s="26"/>
    </row>
    <row r="647" ht="14.25" customHeight="1">
      <c r="B647" s="26"/>
    </row>
    <row r="648" ht="14.25" customHeight="1">
      <c r="B648" s="26"/>
    </row>
    <row r="649" ht="14.25" customHeight="1">
      <c r="B649" s="26"/>
    </row>
    <row r="650" ht="14.25" customHeight="1">
      <c r="B650" s="26"/>
    </row>
    <row r="651" ht="14.25" customHeight="1">
      <c r="B651" s="26"/>
    </row>
    <row r="652" ht="14.25" customHeight="1">
      <c r="B652" s="26"/>
    </row>
    <row r="653" ht="14.25" customHeight="1">
      <c r="B653" s="26"/>
    </row>
    <row r="654" ht="14.25" customHeight="1">
      <c r="B654" s="26"/>
    </row>
    <row r="655" ht="14.25" customHeight="1">
      <c r="B655" s="26"/>
    </row>
    <row r="656" ht="14.25" customHeight="1">
      <c r="B656" s="26"/>
    </row>
    <row r="657" ht="14.25" customHeight="1">
      <c r="B657" s="26"/>
    </row>
    <row r="658" ht="14.25" customHeight="1">
      <c r="B658" s="26"/>
    </row>
    <row r="659" ht="14.25" customHeight="1">
      <c r="B659" s="26"/>
    </row>
    <row r="660" ht="14.25" customHeight="1">
      <c r="B660" s="26"/>
    </row>
    <row r="661" ht="14.25" customHeight="1">
      <c r="B661" s="26"/>
    </row>
    <row r="662" ht="14.25" customHeight="1">
      <c r="B662" s="26"/>
    </row>
    <row r="663" ht="14.25" customHeight="1">
      <c r="B663" s="26"/>
    </row>
    <row r="664" ht="14.25" customHeight="1">
      <c r="B664" s="26"/>
    </row>
    <row r="665" ht="14.25" customHeight="1">
      <c r="B665" s="26"/>
    </row>
    <row r="666" ht="14.25" customHeight="1">
      <c r="B666" s="26"/>
    </row>
    <row r="667" ht="14.25" customHeight="1">
      <c r="B667" s="26"/>
    </row>
    <row r="668" ht="14.25" customHeight="1">
      <c r="B668" s="26"/>
    </row>
    <row r="669" ht="14.25" customHeight="1">
      <c r="B669" s="26"/>
    </row>
    <row r="670" ht="14.25" customHeight="1">
      <c r="B670" s="26"/>
    </row>
    <row r="671" ht="14.25" customHeight="1">
      <c r="B671" s="26"/>
    </row>
    <row r="672" ht="14.25" customHeight="1">
      <c r="B672" s="26"/>
    </row>
    <row r="673" ht="14.25" customHeight="1">
      <c r="B673" s="26"/>
    </row>
    <row r="674" ht="14.25" customHeight="1">
      <c r="B674" s="26"/>
    </row>
    <row r="675" ht="14.25" customHeight="1">
      <c r="B675" s="26"/>
    </row>
    <row r="676" ht="14.25" customHeight="1">
      <c r="B676" s="26"/>
    </row>
    <row r="677" ht="14.25" customHeight="1">
      <c r="B677" s="26"/>
    </row>
    <row r="678" ht="14.25" customHeight="1">
      <c r="B678" s="26"/>
    </row>
    <row r="679" ht="14.25" customHeight="1">
      <c r="B679" s="26"/>
    </row>
    <row r="680" ht="14.25" customHeight="1">
      <c r="B680" s="26"/>
    </row>
    <row r="681" ht="14.25" customHeight="1">
      <c r="B681" s="26"/>
    </row>
    <row r="682" ht="14.25" customHeight="1">
      <c r="B682" s="26"/>
    </row>
    <row r="683" ht="14.25" customHeight="1">
      <c r="B683" s="26"/>
    </row>
    <row r="684" ht="14.25" customHeight="1">
      <c r="B684" s="26"/>
    </row>
    <row r="685" ht="14.25" customHeight="1">
      <c r="B685" s="26"/>
    </row>
    <row r="686" ht="14.25" customHeight="1">
      <c r="B686" s="26"/>
    </row>
    <row r="687" ht="14.25" customHeight="1">
      <c r="B687" s="26"/>
    </row>
    <row r="688" ht="14.25" customHeight="1">
      <c r="B688" s="26"/>
    </row>
    <row r="689" ht="14.25" customHeight="1">
      <c r="B689" s="26"/>
    </row>
    <row r="690" ht="14.25" customHeight="1">
      <c r="B690" s="26"/>
    </row>
    <row r="691" ht="14.25" customHeight="1">
      <c r="B691" s="26"/>
    </row>
    <row r="692" ht="14.25" customHeight="1">
      <c r="B692" s="26"/>
    </row>
    <row r="693" ht="14.25" customHeight="1">
      <c r="B693" s="26"/>
    </row>
    <row r="694" ht="14.25" customHeight="1">
      <c r="B694" s="26"/>
    </row>
    <row r="695" ht="14.25" customHeight="1">
      <c r="B695" s="26"/>
    </row>
    <row r="696" ht="14.25" customHeight="1">
      <c r="B696" s="26"/>
    </row>
    <row r="697" ht="14.25" customHeight="1">
      <c r="B697" s="26"/>
    </row>
    <row r="698" ht="14.25" customHeight="1">
      <c r="B698" s="26"/>
    </row>
    <row r="699" ht="14.25" customHeight="1">
      <c r="B699" s="26"/>
    </row>
    <row r="700" ht="14.25" customHeight="1">
      <c r="B700" s="26"/>
    </row>
    <row r="701" ht="14.25" customHeight="1">
      <c r="B701" s="26"/>
    </row>
    <row r="702" ht="14.25" customHeight="1">
      <c r="B702" s="26"/>
    </row>
    <row r="703" ht="14.25" customHeight="1">
      <c r="B703" s="26"/>
    </row>
    <row r="704" ht="14.25" customHeight="1">
      <c r="B704" s="26"/>
    </row>
    <row r="705" ht="14.25" customHeight="1">
      <c r="B705" s="26"/>
    </row>
    <row r="706" ht="14.25" customHeight="1">
      <c r="B706" s="26"/>
    </row>
    <row r="707" ht="14.25" customHeight="1">
      <c r="B707" s="26"/>
    </row>
    <row r="708" ht="14.25" customHeight="1">
      <c r="B708" s="26"/>
    </row>
    <row r="709" ht="14.25" customHeight="1">
      <c r="B709" s="26"/>
    </row>
    <row r="710" ht="14.25" customHeight="1">
      <c r="B710" s="26"/>
    </row>
    <row r="711" ht="14.25" customHeight="1">
      <c r="B711" s="26"/>
    </row>
    <row r="712" ht="14.25" customHeight="1">
      <c r="B712" s="26"/>
    </row>
    <row r="713" ht="14.25" customHeight="1">
      <c r="B713" s="26"/>
    </row>
    <row r="714" ht="14.25" customHeight="1">
      <c r="B714" s="26"/>
    </row>
    <row r="715" ht="14.25" customHeight="1">
      <c r="B715" s="26"/>
    </row>
    <row r="716" ht="14.25" customHeight="1">
      <c r="B716" s="26"/>
    </row>
    <row r="717" ht="14.25" customHeight="1">
      <c r="B717" s="26"/>
    </row>
    <row r="718" ht="14.25" customHeight="1">
      <c r="B718" s="26"/>
    </row>
    <row r="719" ht="14.25" customHeight="1">
      <c r="B719" s="26"/>
    </row>
    <row r="720" ht="14.25" customHeight="1">
      <c r="B720" s="26"/>
    </row>
    <row r="721" ht="14.25" customHeight="1">
      <c r="B721" s="26"/>
    </row>
    <row r="722" ht="14.25" customHeight="1">
      <c r="B722" s="26"/>
    </row>
    <row r="723" ht="14.25" customHeight="1">
      <c r="B723" s="26"/>
    </row>
    <row r="724" ht="14.25" customHeight="1">
      <c r="B724" s="26"/>
    </row>
    <row r="725" ht="14.25" customHeight="1">
      <c r="B725" s="26"/>
    </row>
    <row r="726" ht="14.25" customHeight="1">
      <c r="B726" s="26"/>
    </row>
    <row r="727" ht="14.25" customHeight="1">
      <c r="B727" s="26"/>
    </row>
    <row r="728" ht="14.25" customHeight="1">
      <c r="B728" s="26"/>
    </row>
    <row r="729" ht="14.25" customHeight="1">
      <c r="B729" s="26"/>
    </row>
    <row r="730" ht="14.25" customHeight="1">
      <c r="B730" s="26"/>
    </row>
    <row r="731" ht="14.25" customHeight="1">
      <c r="B731" s="26"/>
    </row>
    <row r="732" ht="14.25" customHeight="1">
      <c r="B732" s="26"/>
    </row>
    <row r="733" ht="14.25" customHeight="1">
      <c r="B733" s="26"/>
    </row>
    <row r="734" ht="14.25" customHeight="1">
      <c r="B734" s="26"/>
    </row>
    <row r="735" ht="14.25" customHeight="1">
      <c r="B735" s="26"/>
    </row>
    <row r="736" ht="14.25" customHeight="1">
      <c r="B736" s="26"/>
    </row>
    <row r="737" ht="14.25" customHeight="1">
      <c r="B737" s="26"/>
    </row>
    <row r="738" ht="14.25" customHeight="1">
      <c r="B738" s="26"/>
    </row>
    <row r="739" ht="14.25" customHeight="1">
      <c r="B739" s="26"/>
    </row>
    <row r="740" ht="14.25" customHeight="1">
      <c r="B740" s="26"/>
    </row>
    <row r="741" ht="14.25" customHeight="1">
      <c r="B741" s="26"/>
    </row>
    <row r="742" ht="14.25" customHeight="1">
      <c r="B742" s="26"/>
    </row>
    <row r="743" ht="14.25" customHeight="1">
      <c r="B743" s="26"/>
    </row>
    <row r="744" ht="14.25" customHeight="1">
      <c r="B744" s="26"/>
    </row>
    <row r="745" ht="14.25" customHeight="1">
      <c r="B745" s="26"/>
    </row>
    <row r="746" ht="14.25" customHeight="1">
      <c r="B746" s="26"/>
    </row>
    <row r="747" ht="14.25" customHeight="1">
      <c r="B747" s="26"/>
    </row>
    <row r="748" ht="14.25" customHeight="1">
      <c r="B748" s="26"/>
    </row>
    <row r="749" ht="14.25" customHeight="1">
      <c r="B749" s="26"/>
    </row>
    <row r="750" ht="14.25" customHeight="1">
      <c r="B750" s="26"/>
    </row>
    <row r="751" ht="14.25" customHeight="1">
      <c r="B751" s="26"/>
    </row>
    <row r="752" ht="14.25" customHeight="1">
      <c r="B752" s="26"/>
    </row>
    <row r="753" ht="14.25" customHeight="1">
      <c r="B753" s="26"/>
    </row>
    <row r="754" ht="14.25" customHeight="1">
      <c r="B754" s="26"/>
    </row>
    <row r="755" ht="14.25" customHeight="1">
      <c r="B755" s="26"/>
    </row>
    <row r="756" ht="14.25" customHeight="1">
      <c r="B756" s="26"/>
    </row>
    <row r="757" ht="14.25" customHeight="1">
      <c r="B757" s="26"/>
    </row>
    <row r="758" ht="14.25" customHeight="1">
      <c r="B758" s="26"/>
    </row>
    <row r="759" ht="14.25" customHeight="1">
      <c r="B759" s="26"/>
    </row>
    <row r="760" ht="14.25" customHeight="1">
      <c r="B760" s="26"/>
    </row>
    <row r="761" ht="14.25" customHeight="1">
      <c r="B761" s="26"/>
    </row>
    <row r="762" ht="14.25" customHeight="1">
      <c r="B762" s="26"/>
    </row>
    <row r="763" ht="14.25" customHeight="1">
      <c r="B763" s="26"/>
    </row>
    <row r="764" ht="14.25" customHeight="1">
      <c r="B764" s="26"/>
    </row>
    <row r="765" ht="14.25" customHeight="1">
      <c r="B765" s="26"/>
    </row>
    <row r="766" ht="14.25" customHeight="1">
      <c r="B766" s="26"/>
    </row>
    <row r="767" ht="14.25" customHeight="1">
      <c r="B767" s="26"/>
    </row>
    <row r="768" ht="14.25" customHeight="1">
      <c r="B768" s="26"/>
    </row>
    <row r="769" ht="14.25" customHeight="1">
      <c r="B769" s="26"/>
    </row>
    <row r="770" ht="14.25" customHeight="1">
      <c r="B770" s="26"/>
    </row>
    <row r="771" ht="14.25" customHeight="1">
      <c r="B771" s="26"/>
    </row>
    <row r="772" ht="14.25" customHeight="1">
      <c r="B772" s="26"/>
    </row>
    <row r="773" ht="14.25" customHeight="1">
      <c r="B773" s="26"/>
    </row>
    <row r="774" ht="14.25" customHeight="1">
      <c r="B774" s="26"/>
    </row>
    <row r="775" ht="14.25" customHeight="1">
      <c r="B775" s="26"/>
    </row>
    <row r="776" ht="14.25" customHeight="1">
      <c r="B776" s="26"/>
    </row>
    <row r="777" ht="14.25" customHeight="1">
      <c r="B777" s="26"/>
    </row>
    <row r="778" ht="14.25" customHeight="1">
      <c r="B778" s="26"/>
    </row>
    <row r="779" ht="14.25" customHeight="1">
      <c r="B779" s="26"/>
    </row>
    <row r="780" ht="14.25" customHeight="1">
      <c r="B780" s="26"/>
    </row>
    <row r="781" ht="14.25" customHeight="1">
      <c r="B781" s="26"/>
    </row>
    <row r="782" ht="14.25" customHeight="1">
      <c r="B782" s="26"/>
    </row>
    <row r="783" ht="14.25" customHeight="1">
      <c r="B783" s="26"/>
    </row>
    <row r="784" ht="14.25" customHeight="1">
      <c r="B784" s="26"/>
    </row>
    <row r="785" ht="14.25" customHeight="1">
      <c r="B785" s="26"/>
    </row>
    <row r="786" ht="14.25" customHeight="1">
      <c r="B786" s="26"/>
    </row>
    <row r="787" ht="14.25" customHeight="1">
      <c r="B787" s="26"/>
    </row>
    <row r="788" ht="14.25" customHeight="1">
      <c r="B788" s="26"/>
    </row>
    <row r="789" ht="14.25" customHeight="1">
      <c r="B789" s="26"/>
    </row>
    <row r="790" ht="14.25" customHeight="1">
      <c r="B790" s="26"/>
    </row>
    <row r="791" ht="14.25" customHeight="1">
      <c r="B791" s="26"/>
    </row>
    <row r="792" ht="14.25" customHeight="1">
      <c r="B792" s="26"/>
    </row>
    <row r="793" ht="14.25" customHeight="1">
      <c r="B793" s="26"/>
    </row>
    <row r="794" ht="14.25" customHeight="1">
      <c r="B794" s="26"/>
    </row>
    <row r="795" ht="14.25" customHeight="1">
      <c r="B795" s="26"/>
    </row>
    <row r="796" ht="14.25" customHeight="1">
      <c r="B796" s="26"/>
    </row>
    <row r="797" ht="14.25" customHeight="1">
      <c r="B797" s="26"/>
    </row>
    <row r="798" ht="14.25" customHeight="1">
      <c r="B798" s="26"/>
    </row>
    <row r="799" ht="14.25" customHeight="1">
      <c r="B799" s="26"/>
    </row>
    <row r="800" ht="14.25" customHeight="1">
      <c r="B800" s="26"/>
    </row>
    <row r="801" ht="14.25" customHeight="1">
      <c r="B801" s="26"/>
    </row>
    <row r="802" ht="14.25" customHeight="1">
      <c r="B802" s="26"/>
    </row>
    <row r="803" ht="14.25" customHeight="1">
      <c r="B803" s="26"/>
    </row>
    <row r="804" ht="14.25" customHeight="1">
      <c r="B804" s="26"/>
    </row>
    <row r="805" ht="14.25" customHeight="1">
      <c r="B805" s="26"/>
    </row>
    <row r="806" ht="14.25" customHeight="1">
      <c r="B806" s="26"/>
    </row>
    <row r="807" ht="14.25" customHeight="1">
      <c r="B807" s="26"/>
    </row>
    <row r="808" ht="14.25" customHeight="1">
      <c r="B808" s="26"/>
    </row>
    <row r="809" ht="14.25" customHeight="1">
      <c r="B809" s="26"/>
    </row>
    <row r="810" ht="14.25" customHeight="1">
      <c r="B810" s="26"/>
    </row>
    <row r="811" ht="14.25" customHeight="1">
      <c r="B811" s="26"/>
    </row>
    <row r="812" ht="14.25" customHeight="1">
      <c r="B812" s="26"/>
    </row>
    <row r="813" ht="14.25" customHeight="1">
      <c r="B813" s="26"/>
    </row>
    <row r="814" ht="14.25" customHeight="1">
      <c r="B814" s="26"/>
    </row>
    <row r="815" ht="14.25" customHeight="1">
      <c r="B815" s="26"/>
    </row>
    <row r="816" ht="14.25" customHeight="1">
      <c r="B816" s="26"/>
    </row>
    <row r="817" ht="14.25" customHeight="1">
      <c r="B817" s="26"/>
    </row>
    <row r="818" ht="14.25" customHeight="1">
      <c r="B818" s="26"/>
    </row>
    <row r="819" ht="14.25" customHeight="1">
      <c r="B819" s="26"/>
    </row>
    <row r="820" ht="14.25" customHeight="1">
      <c r="B820" s="26"/>
    </row>
    <row r="821" ht="14.25" customHeight="1">
      <c r="B821" s="26"/>
    </row>
    <row r="822" ht="14.25" customHeight="1">
      <c r="B822" s="26"/>
    </row>
    <row r="823" ht="14.25" customHeight="1">
      <c r="B823" s="26"/>
    </row>
    <row r="824" ht="14.25" customHeight="1">
      <c r="B824" s="26"/>
    </row>
    <row r="825" ht="14.25" customHeight="1">
      <c r="B825" s="26"/>
    </row>
    <row r="826" ht="14.25" customHeight="1">
      <c r="B826" s="26"/>
    </row>
    <row r="827" ht="14.25" customHeight="1">
      <c r="B827" s="26"/>
    </row>
    <row r="828" ht="14.25" customHeight="1">
      <c r="B828" s="26"/>
    </row>
    <row r="829" ht="14.25" customHeight="1">
      <c r="B829" s="26"/>
    </row>
    <row r="830" ht="14.25" customHeight="1">
      <c r="B830" s="26"/>
    </row>
    <row r="831" ht="14.25" customHeight="1">
      <c r="B831" s="26"/>
    </row>
    <row r="832" ht="14.25" customHeight="1">
      <c r="B832" s="26"/>
    </row>
    <row r="833" ht="14.25" customHeight="1">
      <c r="B833" s="26"/>
    </row>
    <row r="834" ht="14.25" customHeight="1">
      <c r="B834" s="26"/>
    </row>
    <row r="835" ht="14.25" customHeight="1">
      <c r="B835" s="26"/>
    </row>
    <row r="836" ht="14.25" customHeight="1">
      <c r="B836" s="26"/>
    </row>
    <row r="837" ht="14.25" customHeight="1">
      <c r="B837" s="26"/>
    </row>
    <row r="838" ht="14.25" customHeight="1">
      <c r="B838" s="26"/>
    </row>
    <row r="839" ht="14.25" customHeight="1">
      <c r="B839" s="26"/>
    </row>
    <row r="840" ht="14.25" customHeight="1">
      <c r="B840" s="26"/>
    </row>
    <row r="841" ht="14.25" customHeight="1">
      <c r="B841" s="26"/>
    </row>
    <row r="842" ht="14.25" customHeight="1">
      <c r="B842" s="26"/>
    </row>
    <row r="843" ht="14.25" customHeight="1">
      <c r="B843" s="26"/>
    </row>
    <row r="844" ht="14.25" customHeight="1">
      <c r="B844" s="26"/>
    </row>
    <row r="845" ht="14.25" customHeight="1">
      <c r="B845" s="26"/>
    </row>
    <row r="846" ht="14.25" customHeight="1">
      <c r="B846" s="26"/>
    </row>
    <row r="847" ht="14.25" customHeight="1">
      <c r="B847" s="26"/>
    </row>
    <row r="848" ht="14.25" customHeight="1">
      <c r="B848" s="26"/>
    </row>
    <row r="849" ht="14.25" customHeight="1">
      <c r="B849" s="26"/>
    </row>
    <row r="850" ht="14.25" customHeight="1">
      <c r="B850" s="26"/>
    </row>
    <row r="851" ht="14.25" customHeight="1">
      <c r="B851" s="26"/>
    </row>
    <row r="852" ht="14.25" customHeight="1">
      <c r="B852" s="26"/>
    </row>
    <row r="853" ht="14.25" customHeight="1">
      <c r="B853" s="26"/>
    </row>
    <row r="854" ht="14.25" customHeight="1">
      <c r="B854" s="26"/>
    </row>
    <row r="855" ht="14.25" customHeight="1">
      <c r="B855" s="26"/>
    </row>
    <row r="856" ht="14.25" customHeight="1">
      <c r="B856" s="26"/>
    </row>
    <row r="857" ht="14.25" customHeight="1">
      <c r="B857" s="26"/>
    </row>
    <row r="858" ht="14.25" customHeight="1">
      <c r="B858" s="26"/>
    </row>
    <row r="859" ht="14.25" customHeight="1">
      <c r="B859" s="26"/>
    </row>
    <row r="860" ht="14.25" customHeight="1">
      <c r="B860" s="26"/>
    </row>
    <row r="861" ht="14.25" customHeight="1">
      <c r="B861" s="26"/>
    </row>
    <row r="862" ht="14.25" customHeight="1">
      <c r="B862" s="26"/>
    </row>
    <row r="863" ht="14.25" customHeight="1">
      <c r="B863" s="26"/>
    </row>
    <row r="864" ht="14.25" customHeight="1">
      <c r="B864" s="26"/>
    </row>
    <row r="865" ht="14.25" customHeight="1">
      <c r="B865" s="26"/>
    </row>
    <row r="866" ht="14.25" customHeight="1">
      <c r="B866" s="26"/>
    </row>
    <row r="867" ht="14.25" customHeight="1">
      <c r="B867" s="26"/>
    </row>
    <row r="868" ht="14.25" customHeight="1">
      <c r="B868" s="26"/>
    </row>
    <row r="869" ht="14.25" customHeight="1">
      <c r="B869" s="26"/>
    </row>
    <row r="870" ht="14.25" customHeight="1">
      <c r="B870" s="26"/>
    </row>
    <row r="871" ht="14.25" customHeight="1">
      <c r="B871" s="26"/>
    </row>
    <row r="872" ht="14.25" customHeight="1">
      <c r="B872" s="26"/>
    </row>
    <row r="873" ht="14.25" customHeight="1">
      <c r="B873" s="26"/>
    </row>
    <row r="874" ht="14.25" customHeight="1">
      <c r="B874" s="26"/>
    </row>
    <row r="875" ht="14.25" customHeight="1">
      <c r="B875" s="26"/>
    </row>
    <row r="876" ht="14.25" customHeight="1">
      <c r="B876" s="26"/>
    </row>
    <row r="877" ht="14.25" customHeight="1">
      <c r="B877" s="26"/>
    </row>
    <row r="878" ht="14.25" customHeight="1">
      <c r="B878" s="26"/>
    </row>
    <row r="879" ht="14.25" customHeight="1">
      <c r="B879" s="26"/>
    </row>
    <row r="880" ht="14.25" customHeight="1">
      <c r="B880" s="26"/>
    </row>
    <row r="881" ht="14.25" customHeight="1">
      <c r="B881" s="26"/>
    </row>
    <row r="882" ht="14.25" customHeight="1">
      <c r="B882" s="26"/>
    </row>
    <row r="883" ht="14.25" customHeight="1">
      <c r="B883" s="26"/>
    </row>
    <row r="884" ht="14.25" customHeight="1">
      <c r="B884" s="26"/>
    </row>
    <row r="885" ht="14.25" customHeight="1">
      <c r="B885" s="26"/>
    </row>
    <row r="886" ht="14.25" customHeight="1">
      <c r="B886" s="26"/>
    </row>
    <row r="887" ht="14.25" customHeight="1">
      <c r="B887" s="26"/>
    </row>
    <row r="888" ht="14.25" customHeight="1">
      <c r="B888" s="26"/>
    </row>
    <row r="889" ht="14.25" customHeight="1">
      <c r="B889" s="26"/>
    </row>
    <row r="890" ht="14.25" customHeight="1">
      <c r="B890" s="26"/>
    </row>
    <row r="891" ht="14.25" customHeight="1">
      <c r="B891" s="26"/>
    </row>
    <row r="892" ht="14.25" customHeight="1">
      <c r="B892" s="26"/>
    </row>
    <row r="893" ht="14.25" customHeight="1">
      <c r="B893" s="26"/>
    </row>
    <row r="894" ht="14.25" customHeight="1">
      <c r="B894" s="26"/>
    </row>
    <row r="895" ht="14.25" customHeight="1">
      <c r="B895" s="26"/>
    </row>
    <row r="896" ht="14.25" customHeight="1">
      <c r="B896" s="26"/>
    </row>
    <row r="897" ht="14.25" customHeight="1">
      <c r="B897" s="26"/>
    </row>
    <row r="898" ht="14.25" customHeight="1">
      <c r="B898" s="26"/>
    </row>
    <row r="899" ht="14.25" customHeight="1">
      <c r="B899" s="26"/>
    </row>
    <row r="900" ht="14.25" customHeight="1">
      <c r="B900" s="26"/>
    </row>
    <row r="901" ht="14.25" customHeight="1">
      <c r="B901" s="26"/>
    </row>
    <row r="902" ht="14.25" customHeight="1">
      <c r="B902" s="26"/>
    </row>
    <row r="903" ht="14.25" customHeight="1">
      <c r="B903" s="26"/>
    </row>
    <row r="904" ht="14.25" customHeight="1">
      <c r="B904" s="26"/>
    </row>
    <row r="905" ht="14.25" customHeight="1">
      <c r="B905" s="26"/>
    </row>
    <row r="906" ht="14.25" customHeight="1">
      <c r="B906" s="26"/>
    </row>
    <row r="907" ht="14.25" customHeight="1">
      <c r="B907" s="26"/>
    </row>
    <row r="908" ht="14.25" customHeight="1">
      <c r="B908" s="26"/>
    </row>
    <row r="909" ht="14.25" customHeight="1">
      <c r="B909" s="26"/>
    </row>
    <row r="910" ht="14.25" customHeight="1">
      <c r="B910" s="26"/>
    </row>
    <row r="911" ht="14.25" customHeight="1">
      <c r="B911" s="26"/>
    </row>
    <row r="912" ht="14.25" customHeight="1">
      <c r="B912" s="26"/>
    </row>
    <row r="913" ht="14.25" customHeight="1">
      <c r="B913" s="26"/>
    </row>
    <row r="914" ht="14.25" customHeight="1">
      <c r="B914" s="26"/>
    </row>
    <row r="915" ht="14.25" customHeight="1">
      <c r="B915" s="26"/>
    </row>
    <row r="916" ht="14.25" customHeight="1">
      <c r="B916" s="26"/>
    </row>
    <row r="917" ht="14.25" customHeight="1">
      <c r="B917" s="26"/>
    </row>
    <row r="918" ht="14.25" customHeight="1">
      <c r="B918" s="26"/>
    </row>
    <row r="919" ht="14.25" customHeight="1">
      <c r="B919" s="26"/>
    </row>
    <row r="920" ht="14.25" customHeight="1">
      <c r="B920" s="26"/>
    </row>
    <row r="921" ht="14.25" customHeight="1">
      <c r="B921" s="26"/>
    </row>
    <row r="922" ht="14.25" customHeight="1">
      <c r="B922" s="26"/>
    </row>
    <row r="923" ht="14.25" customHeight="1">
      <c r="B923" s="26"/>
    </row>
    <row r="924" ht="14.25" customHeight="1">
      <c r="B924" s="26"/>
    </row>
    <row r="925" ht="14.25" customHeight="1">
      <c r="B925" s="26"/>
    </row>
    <row r="926" ht="14.25" customHeight="1">
      <c r="B926" s="26"/>
    </row>
    <row r="927" ht="14.25" customHeight="1">
      <c r="B927" s="26"/>
    </row>
    <row r="928" ht="14.25" customHeight="1">
      <c r="B928" s="26"/>
    </row>
    <row r="929" ht="14.25" customHeight="1">
      <c r="B929" s="26"/>
    </row>
    <row r="930" ht="14.25" customHeight="1">
      <c r="B930" s="26"/>
    </row>
    <row r="931" ht="14.25" customHeight="1">
      <c r="B931" s="26"/>
    </row>
    <row r="932" ht="14.25" customHeight="1">
      <c r="B932" s="26"/>
    </row>
    <row r="933" ht="14.25" customHeight="1">
      <c r="B933" s="26"/>
    </row>
    <row r="934" ht="14.25" customHeight="1">
      <c r="B934" s="26"/>
    </row>
    <row r="935" ht="14.25" customHeight="1">
      <c r="B935" s="26"/>
    </row>
    <row r="936" ht="14.25" customHeight="1">
      <c r="B936" s="26"/>
    </row>
    <row r="937" ht="14.25" customHeight="1">
      <c r="B937" s="26"/>
    </row>
    <row r="938" ht="14.25" customHeight="1">
      <c r="B938" s="26"/>
    </row>
    <row r="939" ht="14.25" customHeight="1">
      <c r="B939" s="26"/>
    </row>
    <row r="940" ht="14.25" customHeight="1">
      <c r="B940" s="26"/>
    </row>
    <row r="941" ht="14.25" customHeight="1">
      <c r="B941" s="26"/>
    </row>
    <row r="942" ht="14.25" customHeight="1">
      <c r="B942" s="26"/>
    </row>
    <row r="943" ht="14.25" customHeight="1">
      <c r="B943" s="26"/>
    </row>
    <row r="944" ht="14.25" customHeight="1">
      <c r="B944" s="26"/>
    </row>
    <row r="945" ht="14.25" customHeight="1">
      <c r="B945" s="26"/>
    </row>
    <row r="946" ht="14.25" customHeight="1">
      <c r="B946" s="26"/>
    </row>
    <row r="947" ht="14.25" customHeight="1">
      <c r="B947" s="26"/>
    </row>
    <row r="948" ht="14.25" customHeight="1">
      <c r="B948" s="26"/>
    </row>
    <row r="949" ht="14.25" customHeight="1">
      <c r="B949" s="26"/>
    </row>
    <row r="950" ht="14.25" customHeight="1">
      <c r="B950" s="26"/>
    </row>
    <row r="951" ht="14.25" customHeight="1">
      <c r="B951" s="26"/>
    </row>
    <row r="952" ht="14.25" customHeight="1">
      <c r="B952" s="26"/>
    </row>
    <row r="953" ht="14.25" customHeight="1">
      <c r="B953" s="26"/>
    </row>
    <row r="954" ht="14.25" customHeight="1">
      <c r="B954" s="26"/>
    </row>
    <row r="955" ht="14.25" customHeight="1">
      <c r="B955" s="26"/>
    </row>
    <row r="956" ht="14.25" customHeight="1">
      <c r="B956" s="26"/>
    </row>
    <row r="957" ht="14.25" customHeight="1">
      <c r="B957" s="26"/>
    </row>
    <row r="958" ht="14.25" customHeight="1">
      <c r="B958" s="26"/>
    </row>
    <row r="959" ht="14.25" customHeight="1">
      <c r="B959" s="26"/>
    </row>
    <row r="960" ht="14.25" customHeight="1">
      <c r="B960" s="26"/>
    </row>
    <row r="961" ht="14.25" customHeight="1">
      <c r="B961" s="26"/>
    </row>
    <row r="962" ht="14.25" customHeight="1">
      <c r="B962" s="26"/>
    </row>
    <row r="963" ht="14.25" customHeight="1">
      <c r="B963" s="26"/>
    </row>
    <row r="964" ht="14.25" customHeight="1">
      <c r="B964" s="26"/>
    </row>
    <row r="965" ht="14.25" customHeight="1">
      <c r="B965" s="26"/>
    </row>
    <row r="966" ht="14.25" customHeight="1">
      <c r="B966" s="26"/>
    </row>
    <row r="967" ht="14.25" customHeight="1">
      <c r="B967" s="26"/>
    </row>
    <row r="968" ht="14.25" customHeight="1">
      <c r="B968" s="26"/>
    </row>
    <row r="969" ht="14.25" customHeight="1">
      <c r="B969" s="26"/>
    </row>
    <row r="970" ht="14.25" customHeight="1">
      <c r="B970" s="26"/>
    </row>
    <row r="971" ht="14.25" customHeight="1">
      <c r="B971" s="26"/>
    </row>
    <row r="972" ht="14.25" customHeight="1">
      <c r="B972" s="26"/>
    </row>
    <row r="973" ht="14.25" customHeight="1">
      <c r="B973" s="26"/>
    </row>
    <row r="974" ht="14.25" customHeight="1">
      <c r="B974" s="26"/>
    </row>
    <row r="975" ht="14.25" customHeight="1">
      <c r="B975" s="26"/>
    </row>
    <row r="976" ht="14.25" customHeight="1">
      <c r="B976" s="26"/>
    </row>
    <row r="977" ht="14.25" customHeight="1">
      <c r="B977" s="26"/>
    </row>
    <row r="978" ht="14.25" customHeight="1">
      <c r="B978" s="26"/>
    </row>
    <row r="979" ht="14.25" customHeight="1">
      <c r="B979" s="26"/>
    </row>
    <row r="980" ht="14.25" customHeight="1">
      <c r="B980" s="26"/>
    </row>
    <row r="981" ht="14.25" customHeight="1">
      <c r="B981" s="26"/>
    </row>
    <row r="982" ht="14.25" customHeight="1">
      <c r="B982" s="26"/>
    </row>
    <row r="983" ht="14.25" customHeight="1">
      <c r="B983" s="26"/>
    </row>
    <row r="984" ht="14.25" customHeight="1">
      <c r="B984" s="26"/>
    </row>
    <row r="985" ht="14.25" customHeight="1">
      <c r="B985" s="26"/>
    </row>
    <row r="986" ht="14.25" customHeight="1">
      <c r="B986" s="26"/>
    </row>
    <row r="987" ht="14.25" customHeight="1">
      <c r="B987" s="26"/>
    </row>
    <row r="988" ht="14.25" customHeight="1">
      <c r="B988" s="26"/>
    </row>
    <row r="989" ht="14.25" customHeight="1">
      <c r="B989" s="26"/>
    </row>
    <row r="990" ht="14.25" customHeight="1">
      <c r="B990" s="26"/>
    </row>
    <row r="991" ht="14.25" customHeight="1">
      <c r="B991" s="26"/>
    </row>
    <row r="992" ht="14.25" customHeight="1">
      <c r="B992" s="26"/>
    </row>
    <row r="993" ht="14.25" customHeight="1">
      <c r="B993" s="26"/>
    </row>
    <row r="994" ht="14.25" customHeight="1">
      <c r="B994" s="26"/>
    </row>
    <row r="995" ht="14.25" customHeight="1">
      <c r="B995" s="26"/>
    </row>
    <row r="996" ht="14.25" customHeight="1">
      <c r="B996" s="26"/>
    </row>
    <row r="997" ht="14.25" customHeight="1">
      <c r="B997" s="26"/>
    </row>
    <row r="998" ht="14.25" customHeight="1">
      <c r="B998" s="26"/>
    </row>
    <row r="999" ht="14.25" customHeight="1">
      <c r="B999" s="26"/>
    </row>
    <row r="1000" ht="14.25" customHeight="1">
      <c r="B1000" s="26"/>
    </row>
    <row r="1001" ht="14.25" customHeight="1">
      <c r="B1001" s="26"/>
    </row>
  </sheetData>
  <autoFilter ref="$A$1:$M$77">
    <sortState ref="A1:M77">
      <sortCondition ref="A1:A77"/>
      <sortCondition ref="M1:M77"/>
    </sortState>
  </autoFilter>
  <conditionalFormatting sqref="M1:M1001">
    <cfRule type="cellIs" dxfId="0" priority="1" operator="equal">
      <formula>0</formula>
    </cfRule>
  </conditionalFormatting>
  <printOptions gridLines="1"/>
  <pageMargins bottom="0.75" footer="0.0" header="0.0" left="0.7" right="0.7" top="0.75"/>
  <pageSetup scale="8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50.88"/>
    <col customWidth="1" min="3" max="3" width="24.0"/>
    <col customWidth="1" min="4" max="26" width="8.75"/>
  </cols>
  <sheetData>
    <row r="1" ht="23.25" customHeight="1">
      <c r="A1" s="1" t="s">
        <v>206</v>
      </c>
    </row>
    <row r="2" ht="14.25" customHeight="1"/>
    <row r="3" ht="15.75" customHeight="1">
      <c r="A3" s="20" t="s">
        <v>104</v>
      </c>
      <c r="B3" s="20" t="s">
        <v>207</v>
      </c>
      <c r="C3" s="20" t="s">
        <v>208</v>
      </c>
    </row>
    <row r="4" ht="14.25" customHeight="1">
      <c r="A4" s="30">
        <v>1212.0</v>
      </c>
      <c r="B4" s="8" t="str">
        <f>IFERROR(VLOOKUP(A4, Ingreso!$B:$H, 2, FALSE), "Buscando...")</f>
        <v>Bolsa Regalo Dia Mamá</v>
      </c>
      <c r="C4" s="8">
        <f>IFERROR(VLOOKUP(A4, Ingreso!$B:$H, 7, FALSE), 0) - SUMIF(ventas!$A:$A, A4, ventas!$C:$C)</f>
        <v>9</v>
      </c>
    </row>
    <row r="5" ht="14.25" customHeight="1">
      <c r="A5" s="30">
        <v>809939.0</v>
      </c>
      <c r="B5" s="8" t="str">
        <f>IFERROR(VLOOKUP(A5, Ingreso!$B:$H, 2, FALSE), "Buscando...")</f>
        <v>Set de especies 8und bambu</v>
      </c>
      <c r="C5" s="8">
        <f>IFERROR(VLOOKUP(A5, Ingreso!$B:$H, 7, FALSE), 0) - SUMIF(ventas!$A:$A, A5, ventas!$C:$C)</f>
        <v>0</v>
      </c>
    </row>
    <row r="6" ht="14.25" customHeight="1">
      <c r="A6" s="30">
        <v>807597.0</v>
      </c>
      <c r="B6" s="8" t="str">
        <f>IFERROR(VLOOKUP(A6, Ingreso!$B:$H, 2, FALSE), "Buscando...")</f>
        <v>Frasco para miel vidrio y bambu</v>
      </c>
      <c r="C6" s="8">
        <f>IFERROR(VLOOKUP(A6, Ingreso!$B:$H, 7, FALSE), 0) - SUMIF(ventas!$A:$A, A6, ventas!$C:$C)</f>
        <v>7</v>
      </c>
    </row>
    <row r="7" ht="14.25" customHeight="1">
      <c r="A7" s="30">
        <v>1515.0</v>
      </c>
      <c r="B7" s="8" t="str">
        <f>IFERROR(VLOOKUP(A7, Ingreso!$B:$H, 2, FALSE), "Buscando...")</f>
        <v>Salero y Pimentero Pareja</v>
      </c>
      <c r="C7" s="8">
        <f>IFERROR(VLOOKUP(A7, Ingreso!$B:$H, 7, FALSE), 0) - SUMIF(ventas!$A:$A, A7, ventas!$C:$C)</f>
        <v>0</v>
      </c>
    </row>
    <row r="8" ht="14.25" customHeight="1">
      <c r="A8" s="30">
        <v>1616.0</v>
      </c>
      <c r="B8" s="8" t="str">
        <f>IFERROR(VLOOKUP(A8, Ingreso!$B:$H, 2, FALSE), "Buscando...")</f>
        <v>Guatero infantil Patito</v>
      </c>
      <c r="C8" s="8">
        <f>IFERROR(VLOOKUP(A8, Ingreso!$B:$H, 7, FALSE), 0) - SUMIF(ventas!$A:$A, A8, ventas!$C:$C)</f>
        <v>0</v>
      </c>
    </row>
    <row r="9" ht="14.25" customHeight="1">
      <c r="A9" s="30">
        <v>1717.0</v>
      </c>
      <c r="B9" s="8" t="str">
        <f>IFERROR(VLOOKUP(A9, Ingreso!$B:$H, 2, FALSE), "Buscando...")</f>
        <v>Guatero Infantil Mounstruito</v>
      </c>
      <c r="C9" s="8">
        <f>IFERROR(VLOOKUP(A9, Ingreso!$B:$H, 7, FALSE), 0) - SUMIF(ventas!$A:$A, A9, ventas!$C:$C)</f>
        <v>4</v>
      </c>
    </row>
    <row r="10" ht="14.25" customHeight="1">
      <c r="A10" s="30">
        <v>808708.0</v>
      </c>
      <c r="B10" s="8" t="str">
        <f>IFERROR(VLOOKUP(A10, Ingreso!$B:$H, 2, FALSE), "Buscando...")</f>
        <v>Taza Margarita vidrio</v>
      </c>
      <c r="C10" s="8">
        <f>IFERROR(VLOOKUP(A10, Ingreso!$B:$H, 7, FALSE), 0) - SUMIF(ventas!$A:$A, A10, ventas!$C:$C)</f>
        <v>0</v>
      </c>
    </row>
    <row r="11" ht="14.25" customHeight="1">
      <c r="A11" s="30">
        <v>601873.0</v>
      </c>
      <c r="B11" s="8" t="str">
        <f>IFERROR(VLOOKUP(A11, Ingreso!$B:$H, 2, FALSE), "Buscando...")</f>
        <v>Burlete Puerta 95cm</v>
      </c>
      <c r="C11" s="8">
        <f>IFERROR(VLOOKUP(A11, Ingreso!$B:$H, 7, FALSE), 0) - SUMIF(ventas!$A:$A, A11, ventas!$C:$C)</f>
        <v>4</v>
      </c>
    </row>
    <row r="12" ht="14.25" customHeight="1">
      <c r="A12" s="30">
        <v>1313.0</v>
      </c>
      <c r="B12" s="8" t="str">
        <f>IFERROR(VLOOKUP(A12, Ingreso!$B:$H, 2, FALSE), "Buscando...")</f>
        <v>Organizador Maquillaje y skincare</v>
      </c>
      <c r="C12" s="8">
        <f>IFERROR(VLOOKUP(A12, Ingreso!$B:$H, 7, FALSE), 0) - SUMIF(ventas!$A:$A, A12, ventas!$C:$C)</f>
        <v>4</v>
      </c>
    </row>
    <row r="13" ht="14.25" customHeight="1">
      <c r="A13" s="30">
        <v>808698.0</v>
      </c>
      <c r="B13" s="8" t="str">
        <f>IFERROR(VLOOKUP(A13, Ingreso!$B:$H, 2, FALSE), "Buscando...")</f>
        <v>Taza Flores Doble fondo</v>
      </c>
      <c r="C13" s="8">
        <f>IFERROR(VLOOKUP(A13, Ingreso!$B:$H, 7, FALSE), 0) - SUMIF(ventas!$A:$A, A13, ventas!$C:$C)</f>
        <v>2</v>
      </c>
    </row>
    <row r="14" ht="14.25" customHeight="1">
      <c r="A14" s="30">
        <v>1414.0</v>
      </c>
      <c r="B14" s="8" t="str">
        <f>IFERROR(VLOOKUP(A14, Ingreso!$B:$H, 2, FALSE), "Buscando...")</f>
        <v>Posavasos bambu 4und</v>
      </c>
      <c r="C14" s="8">
        <f>IFERROR(VLOOKUP(A14, Ingreso!$B:$H, 7, FALSE), 0) - SUMIF(ventas!$A:$A, A14, ventas!$C:$C)</f>
        <v>4</v>
      </c>
    </row>
    <row r="15" ht="14.25" customHeight="1">
      <c r="A15" s="38">
        <v>655188.0</v>
      </c>
      <c r="B15" s="8" t="str">
        <f>IFERROR(VLOOKUP(A15, Ingreso!$B:$H, 2, FALSE), "Buscando...")</f>
        <v>Guatero Conejo 500ml</v>
      </c>
      <c r="C15" s="8">
        <f>IFERROR(VLOOKUP(A15, Ingreso!$B:$H, 7, FALSE), 0) - SUMIF(ventas!$A:$A, A15, ventas!$C:$C)</f>
        <v>4</v>
      </c>
    </row>
    <row r="16" ht="14.25" customHeight="1">
      <c r="A16" s="38">
        <v>8095749.0</v>
      </c>
      <c r="B16" s="8" t="str">
        <f>IFERROR(VLOOKUP(A16, Ingreso!$B:$H, 2, FALSE), "Buscando...")</f>
        <v>Salero y Pimentero Cerditos </v>
      </c>
      <c r="C16" s="8">
        <f>IFERROR(VLOOKUP(A16, Ingreso!$B:$H, 7, FALSE), 0) - SUMIF(ventas!$A:$A, A16, ventas!$C:$C)</f>
        <v>3</v>
      </c>
    </row>
    <row r="17" ht="14.25" customHeight="1">
      <c r="A17" s="30">
        <v>24217.0</v>
      </c>
      <c r="B17" s="8" t="str">
        <f>IFERROR(VLOOKUP(A17, Ingreso!$B:$H, 2, FALSE), "Buscando...")</f>
        <v>Cesta Ropa Dinosaurio 40*50cm</v>
      </c>
      <c r="C17" s="8">
        <f>IFERROR(VLOOKUP(A17, Ingreso!$B:$H, 7, FALSE), 0) - SUMIF(ventas!$A:$A, A17, ventas!$C:$C)</f>
        <v>2</v>
      </c>
    </row>
    <row r="18" ht="14.25" customHeight="1">
      <c r="A18" s="30">
        <v>19571.0</v>
      </c>
      <c r="B18" s="8" t="str">
        <f>IFERROR(VLOOKUP(A18, Ingreso!$B:$H, 2, FALSE), "Buscando...")</f>
        <v>Cesta Ropa Cuadrada café con tapa 42*30*56cm</v>
      </c>
      <c r="C18" s="8">
        <f>IFERROR(VLOOKUP(A18, Ingreso!$B:$H, 7, FALSE), 0) - SUMIF(ventas!$A:$A, A18, ventas!$C:$C)</f>
        <v>7</v>
      </c>
    </row>
    <row r="19" ht="14.25" customHeight="1">
      <c r="A19" s="30">
        <v>50948.0</v>
      </c>
      <c r="B19" s="8" t="str">
        <f>IFERROR(VLOOKUP(A19, Ingreso!$B:$H, 2, FALSE), "Buscando...")</f>
        <v>Salvamantel Metalico 18*18*1,5cm</v>
      </c>
      <c r="C19" s="8">
        <f>IFERROR(VLOOKUP(A19, Ingreso!$B:$H, 7, FALSE), 0) - SUMIF(ventas!$A:$A, A19, ventas!$C:$C)</f>
        <v>7</v>
      </c>
    </row>
    <row r="20" ht="14.25" customHeight="1">
      <c r="A20" s="30">
        <v>25936.0</v>
      </c>
      <c r="B20" s="8" t="str">
        <f>IFERROR(VLOOKUP(A20, Ingreso!$B:$H, 2, FALSE), "Buscando...")</f>
        <v>Dispensador Lavalozas 18*12cm</v>
      </c>
      <c r="C20" s="8">
        <f>IFERROR(VLOOKUP(A20, Ingreso!$B:$H, 7, FALSE), 0) - SUMIF(ventas!$A:$A, A20, ventas!$C:$C)</f>
        <v>4</v>
      </c>
    </row>
    <row r="21" ht="14.25" customHeight="1">
      <c r="A21" s="30">
        <v>15154.0</v>
      </c>
      <c r="B21" s="8" t="str">
        <f>IFERROR(VLOOKUP(A21, Ingreso!$B:$H, 2, FALSE), "Buscando...")</f>
        <v>tripack paños de cocina</v>
      </c>
      <c r="C21" s="8">
        <f>IFERROR(VLOOKUP(A21, Ingreso!$B:$H, 7, FALSE), 0) - SUMIF(ventas!$A:$A, A21, ventas!$C:$C)</f>
        <v>2</v>
      </c>
    </row>
    <row r="22" ht="14.25" customHeight="1">
      <c r="A22" s="30">
        <v>21455.0</v>
      </c>
      <c r="B22" s="8" t="str">
        <f>IFERROR(VLOOKUP(A22, Ingreso!$B:$H, 2, FALSE), "Buscando...")</f>
        <v>Zapatero Negro Plastico Varillas Metalicas 4 pisos 41*18,5*50cm</v>
      </c>
      <c r="C22" s="8">
        <f>IFERROR(VLOOKUP(A22, Ingreso!$B:$H, 7, FALSE), 0) - SUMIF(ventas!$A:$A, A22, ventas!$C:$C)</f>
        <v>2</v>
      </c>
    </row>
    <row r="23" ht="14.25" customHeight="1">
      <c r="A23" s="30">
        <v>21457.0</v>
      </c>
      <c r="B23" s="8" t="str">
        <f>IFERROR(VLOOKUP(A23, Ingreso!$B:$H, 2, FALSE), "Buscando...")</f>
        <v>Zapatero Blanco Plastico Varillas Metalicas 4 pisos 47*20*53cm</v>
      </c>
      <c r="C23" s="8">
        <f>IFERROR(VLOOKUP(A23, Ingreso!$B:$H, 7, FALSE), 0) - SUMIF(ventas!$A:$A, A23, ventas!$C:$C)</f>
        <v>2</v>
      </c>
    </row>
    <row r="24" ht="14.25" customHeight="1">
      <c r="A24" s="30">
        <v>24218.0</v>
      </c>
      <c r="B24" s="8" t="str">
        <f>IFERROR(VLOOKUP(A24, Ingreso!$B:$H, 2, FALSE), "Buscando...")</f>
        <v>Cesta Ropa Leon 40*50cm</v>
      </c>
      <c r="C24" s="8">
        <f>IFERROR(VLOOKUP(A24, Ingreso!$B:$H, 7, FALSE), 0) - SUMIF(ventas!$A:$A, A24, ventas!$C:$C)</f>
        <v>3</v>
      </c>
    </row>
    <row r="25" ht="14.25" customHeight="1">
      <c r="A25" s="30">
        <v>51248.0</v>
      </c>
      <c r="B25" s="8" t="str">
        <f>IFERROR(VLOOKUP(A25, Ingreso!$B:$H, 2, FALSE), "Buscando...")</f>
        <v>Cesta con cierre algodon 41*32*53cm</v>
      </c>
      <c r="C25" s="8">
        <f>IFERROR(VLOOKUP(A25, Ingreso!$B:$H, 7, FALSE), 0) - SUMIF(ventas!$A:$A, A25, ventas!$C:$C)</f>
        <v>3</v>
      </c>
    </row>
    <row r="26" ht="14.25" customHeight="1">
      <c r="A26" s="30">
        <v>22489.0</v>
      </c>
      <c r="B26" s="8" t="str">
        <f>IFERROR(VLOOKUP(A26, Ingreso!$B:$H, 2, FALSE), "Buscando...")</f>
        <v>Caja organizadora Te 4 compartimiento15*15*7cm</v>
      </c>
      <c r="C26" s="8">
        <f>IFERROR(VLOOKUP(A26, Ingreso!$B:$H, 7, FALSE), 0) - SUMIF(ventas!$A:$A, A26, ventas!$C:$C)</f>
        <v>3</v>
      </c>
    </row>
    <row r="27" ht="14.25" customHeight="1">
      <c r="A27" s="30">
        <v>22493.0</v>
      </c>
      <c r="B27" s="8" t="str">
        <f>IFERROR(VLOOKUP(A27, Ingreso!$B:$H, 2, FALSE), "Buscando...")</f>
        <v>Caja organizadora Te 6 compartimientos 24*17*7cm</v>
      </c>
      <c r="C27" s="8">
        <f>IFERROR(VLOOKUP(A27, Ingreso!$B:$H, 7, FALSE), 0) - SUMIF(ventas!$A:$A, A27, ventas!$C:$C)</f>
        <v>3</v>
      </c>
    </row>
    <row r="28" ht="14.25" customHeight="1">
      <c r="A28" s="30">
        <v>23712.0</v>
      </c>
      <c r="B28" s="8" t="str">
        <f>IFERROR(VLOOKUP(A28, Ingreso!$B:$H, 2, FALSE), "Buscando...")</f>
        <v>Destapador de botellas Basquetbol 6,5*15*20cm</v>
      </c>
      <c r="C28" s="8">
        <f>IFERROR(VLOOKUP(A28, Ingreso!$B:$H, 7, FALSE), 0) - SUMIF(ventas!$A:$A, A28, ventas!$C:$C)</f>
        <v>3</v>
      </c>
    </row>
    <row r="29" ht="14.25" customHeight="1">
      <c r="A29" s="30">
        <v>50165.0</v>
      </c>
      <c r="B29" s="8" t="str">
        <f>IFERROR(VLOOKUP(A29, Ingreso!$B:$H, 2, FALSE), "Buscando...")</f>
        <v>Colgador para Llaves Casita 20*16,5cm</v>
      </c>
      <c r="C29" s="8">
        <f>IFERROR(VLOOKUP(A29, Ingreso!$B:$H, 7, FALSE), 0) - SUMIF(ventas!$A:$A, A29, ventas!$C:$C)</f>
        <v>3</v>
      </c>
    </row>
    <row r="30" ht="14.25" customHeight="1">
      <c r="A30" s="30">
        <v>21930.0</v>
      </c>
      <c r="B30" s="8" t="str">
        <f>IFERROR(VLOOKUP(A30, Ingreso!$B:$H, 2, FALSE), "Buscando...")</f>
        <v>Panera Gris con blanco Tejida 6,5*28cm</v>
      </c>
      <c r="C30" s="8">
        <f>IFERROR(VLOOKUP(A30, Ingreso!$B:$H, 7, FALSE), 0) - SUMIF(ventas!$A:$A, A30, ventas!$C:$C)</f>
        <v>4</v>
      </c>
    </row>
    <row r="31" ht="14.25" customHeight="1">
      <c r="A31" s="30">
        <v>50499.0</v>
      </c>
      <c r="B31" s="8" t="str">
        <f>IFERROR(VLOOKUP(A31, Ingreso!$B:$H, 2, FALSE), "Buscando...")</f>
        <v>Porta Toalla Nova Metalico Mariposa</v>
      </c>
      <c r="C31" s="8">
        <f>IFERROR(VLOOKUP(A31, Ingreso!$B:$H, 7, FALSE), 0) - SUMIF(ventas!$A:$A, A31, ventas!$C:$C)</f>
        <v>4</v>
      </c>
    </row>
    <row r="32" ht="14.25" customHeight="1">
      <c r="A32" s="30">
        <v>50883.0</v>
      </c>
      <c r="B32" s="8" t="str">
        <f>IFERROR(VLOOKUP(A32, Ingreso!$B:$H, 2, FALSE), "Buscando...")</f>
        <v>Colgante para Llaves con Flor 21,5*11,5cm</v>
      </c>
      <c r="C32" s="8">
        <f>IFERROR(VLOOKUP(A32, Ingreso!$B:$H, 7, FALSE), 0) - SUMIF(ventas!$A:$A, A32, ventas!$C:$C)</f>
        <v>4</v>
      </c>
    </row>
    <row r="33" ht="14.25" customHeight="1">
      <c r="A33" s="30">
        <v>15855.0</v>
      </c>
      <c r="B33" s="8" t="str">
        <f>IFERROR(VLOOKUP(A33, Ingreso!$B:$H, 2, FALSE), "Buscando...")</f>
        <v>Frutero Metalico 27*10cm</v>
      </c>
      <c r="C33" s="8">
        <f>IFERROR(VLOOKUP(A33, Ingreso!$B:$H, 7, FALSE), 0) - SUMIF(ventas!$A:$A, A33, ventas!$C:$C)</f>
        <v>5</v>
      </c>
    </row>
    <row r="34" ht="14.25" customHeight="1">
      <c r="A34" s="30">
        <v>15511.0</v>
      </c>
      <c r="B34" s="8" t="str">
        <f>IFERROR(VLOOKUP(A34, Ingreso!$B:$H, 2, FALSE), "Buscando...")</f>
        <v>Individual Tejido Grisazulado 38cm</v>
      </c>
      <c r="C34" s="8">
        <f>IFERROR(VLOOKUP(A34, Ingreso!$B:$H, 7, FALSE), 0) - SUMIF(ventas!$A:$A, A34, ventas!$C:$C)</f>
        <v>10</v>
      </c>
    </row>
    <row r="35" ht="14.25" customHeight="1">
      <c r="A35" s="30">
        <v>16922.0</v>
      </c>
      <c r="B35" s="8" t="str">
        <f>IFERROR(VLOOKUP(A35, Ingreso!$B:$H, 2, FALSE), "Buscando...")</f>
        <v>Cesta Ropa Diseño Estampado 35*45cm</v>
      </c>
      <c r="C35" s="8">
        <f>IFERROR(VLOOKUP(A35, Ingreso!$B:$H, 7, FALSE), 0) - SUMIF(ventas!$A:$A, A35, ventas!$C:$C)</f>
        <v>6</v>
      </c>
    </row>
    <row r="36" ht="14.25" customHeight="1">
      <c r="A36" s="30">
        <v>22354.0</v>
      </c>
      <c r="B36" s="8" t="str">
        <f>IFERROR(VLOOKUP(A36, Ingreso!$B:$H, 2, FALSE), "Buscando...")</f>
        <v>Colgador para Llaves pajaros dorado 20*20cm</v>
      </c>
      <c r="C36" s="8">
        <f>IFERROR(VLOOKUP(A36, Ingreso!$B:$H, 7, FALSE), 0) - SUMIF(ventas!$A:$A, A36, ventas!$C:$C)</f>
        <v>5</v>
      </c>
    </row>
    <row r="37" ht="14.25" customHeight="1">
      <c r="A37" s="30">
        <v>22629.0</v>
      </c>
      <c r="B37" s="8" t="str">
        <f>IFERROR(VLOOKUP(A37, Ingreso!$B:$H, 2, FALSE), "Buscando...")</f>
        <v>Posavasos Ceramica 11,5cm</v>
      </c>
      <c r="C37" s="8">
        <f>IFERROR(VLOOKUP(A37, Ingreso!$B:$H, 7, FALSE), 0) - SUMIF(ventas!$A:$A, A37, ventas!$C:$C)</f>
        <v>12</v>
      </c>
    </row>
    <row r="38" ht="14.25" customHeight="1">
      <c r="A38" s="38">
        <v>51027.0</v>
      </c>
      <c r="B38" s="8" t="str">
        <f>IFERROR(VLOOKUP(A38, Ingreso!$B:$H, 2, FALSE), "Buscando...")</f>
        <v>Salvamantel Ceramica redondo 16cm</v>
      </c>
      <c r="C38" s="8">
        <f>IFERROR(VLOOKUP(A38, Ingreso!$B:$H, 7, FALSE), 0) - SUMIF(ventas!$A:$A, A38, ventas!$C:$C)</f>
        <v>4</v>
      </c>
    </row>
    <row r="39" ht="14.25" customHeight="1">
      <c r="A39" s="38">
        <v>14806.0</v>
      </c>
      <c r="B39" s="8" t="str">
        <f>IFERROR(VLOOKUP(A39, Ingreso!$B:$H, 2, FALSE), "Buscando...")</f>
        <v>Panera Marron ovalada 8x25x31cm</v>
      </c>
      <c r="C39" s="8">
        <f>IFERROR(VLOOKUP(A39, Ingreso!$B:$H, 7, FALSE), 0) - SUMIF(ventas!$A:$A, A39, ventas!$C:$C)</f>
        <v>3</v>
      </c>
    </row>
    <row r="40" ht="14.25" customHeight="1">
      <c r="A40" s="38">
        <v>16935.0</v>
      </c>
      <c r="B40" s="8" t="str">
        <f>IFERROR(VLOOKUP(A40, Ingreso!$B:$H, 2, FALSE), "Buscando...")</f>
        <v>Paño secaplato </v>
      </c>
      <c r="C40" s="8">
        <f>IFERROR(VLOOKUP(A40, Ingreso!$B:$H, 7, FALSE), 0) - SUMIF(ventas!$A:$A, A40, ventas!$C:$C)</f>
        <v>4</v>
      </c>
    </row>
    <row r="41" ht="14.25" customHeight="1">
      <c r="A41" s="38">
        <v>7.676887207875E12</v>
      </c>
      <c r="B41" s="8" t="str">
        <f>IFERROR(VLOOKUP(A41, Ingreso!$B:$H, 2, FALSE), "Buscando...")</f>
        <v>Guatero Electrico Conejo Rosado 26x19cm</v>
      </c>
      <c r="C41" s="8">
        <f>IFERROR(VLOOKUP(A41, Ingreso!$B:$H, 7, FALSE), 0) - SUMIF(ventas!$A:$A, A41, ventas!$C:$C)</f>
        <v>0</v>
      </c>
    </row>
    <row r="42" ht="14.25" customHeight="1">
      <c r="A42" s="38">
        <v>7.676887207929E12</v>
      </c>
      <c r="B42" s="8" t="str">
        <f>IFERROR(VLOOKUP(A42, Ingreso!$B:$H, 2, FALSE), "Buscando...")</f>
        <v>Guatero Electrico Marron Oso 26x19cm</v>
      </c>
      <c r="C42" s="8">
        <f>IFERROR(VLOOKUP(A42, Ingreso!$B:$H, 7, FALSE), 0) - SUMIF(ventas!$A:$A, A42, ventas!$C:$C)</f>
        <v>0</v>
      </c>
    </row>
    <row r="43" ht="14.25" customHeight="1">
      <c r="A43" s="38">
        <v>15512.0</v>
      </c>
      <c r="B43" s="8" t="str">
        <f>IFERROR(VLOOKUP(A43, Ingreso!$B:$H, 2, FALSE), "Buscando...")</f>
        <v>Individual Tejido Negro 38cm</v>
      </c>
      <c r="C43" s="8">
        <f>IFERROR(VLOOKUP(A43, Ingreso!$B:$H, 7, FALSE), 0) - SUMIF(ventas!$A:$A, A43, ventas!$C:$C)</f>
        <v>24</v>
      </c>
    </row>
    <row r="44" ht="14.25" customHeight="1">
      <c r="A44" s="38">
        <v>24049.0</v>
      </c>
      <c r="B44" s="8" t="str">
        <f>IFERROR(VLOOKUP(A44, Ingreso!$B:$H, 2, FALSE), "Buscando...")</f>
        <v>Camino de mesa blanco gris 35x180cm</v>
      </c>
      <c r="C44" s="8">
        <f>IFERROR(VLOOKUP(A44, Ingreso!$B:$H, 7, FALSE), 0) - SUMIF(ventas!$A:$A, A44, ventas!$C:$C)</f>
        <v>2</v>
      </c>
    </row>
    <row r="45" ht="14.25" customHeight="1">
      <c r="A45" s="38">
        <v>15955.0</v>
      </c>
      <c r="B45" s="8" t="str">
        <f>IFERROR(VLOOKUP(A45, Ingreso!$B:$H, 2, FALSE), "Buscando...")</f>
        <v>Individual Plateado PVC 38cm</v>
      </c>
      <c r="C45" s="8">
        <f>IFERROR(VLOOKUP(A45, Ingreso!$B:$H, 7, FALSE), 0) - SUMIF(ventas!$A:$A, A45, ventas!$C:$C)</f>
        <v>24</v>
      </c>
    </row>
    <row r="46" ht="14.25" customHeight="1">
      <c r="A46" s="38">
        <v>22815.0</v>
      </c>
      <c r="B46" s="8" t="str">
        <f>IFERROR(VLOOKUP(A46, Ingreso!$B:$H, 2, FALSE), "Buscando...")</f>
        <v>Set tabla picar 3pcs 34x24cm</v>
      </c>
      <c r="C46" s="8">
        <f>IFERROR(VLOOKUP(A46, Ingreso!$B:$H, 7, FALSE), 0) - SUMIF(ventas!$A:$A, A46, ventas!$C:$C)</f>
        <v>5</v>
      </c>
    </row>
    <row r="47" ht="14.25" customHeight="1">
      <c r="A47" s="38">
        <v>51028.0</v>
      </c>
      <c r="B47" s="8" t="str">
        <f>IFERROR(VLOOKUP(A47, Ingreso!$B:$H, 2, FALSE), "Buscando...")</f>
        <v>Posavasos Ceramica Gato Rosado 10x10cm</v>
      </c>
      <c r="C47" s="8">
        <f>IFERROR(VLOOKUP(A47, Ingreso!$B:$H, 7, FALSE), 0) - SUMIF(ventas!$A:$A, A47, ventas!$C:$C)</f>
        <v>10</v>
      </c>
    </row>
    <row r="48" ht="14.25" customHeight="1">
      <c r="A48" s="38">
        <v>51032.0</v>
      </c>
      <c r="B48" s="8" t="str">
        <f>IFERROR(VLOOKUP(A48, Ingreso!$B:$H, 2, FALSE), "Buscando...")</f>
        <v>Posavasos Ceramica Gato Capuccino 12.5x12.5cm</v>
      </c>
      <c r="C48" s="8">
        <f>IFERROR(VLOOKUP(A48, Ingreso!$B:$H, 7, FALSE), 0) - SUMIF(ventas!$A:$A, A48, ventas!$C:$C)</f>
        <v>12</v>
      </c>
    </row>
    <row r="49" ht="14.25" customHeight="1">
      <c r="A49" s="38">
        <v>11409.0</v>
      </c>
      <c r="B49" s="8" t="str">
        <f>IFERROR(VLOOKUP(A49, Ingreso!$B:$H, 2, FALSE), "Buscando...")</f>
        <v>Bolsa lavadora 40x50cm</v>
      </c>
      <c r="C49" s="8">
        <f>IFERROR(VLOOKUP(A49, Ingreso!$B:$H, 7, FALSE), 0) - SUMIF(ventas!$A:$A, A49, ventas!$C:$C)</f>
        <v>3</v>
      </c>
    </row>
    <row r="50" ht="14.25" customHeight="1">
      <c r="A50" s="26" t="s">
        <v>166</v>
      </c>
      <c r="B50" s="8" t="str">
        <f>IFERROR(VLOOKUP(A50, Ingreso!$B:$H, 2, FALSE), "Buscando...")</f>
        <v>Humidificador electrico USB</v>
      </c>
      <c r="C50" s="8">
        <f>IFERROR(VLOOKUP(A50, Ingreso!$B:$H, 7, FALSE), 0) - SUMIF(ventas!$A:$A, A50, ventas!$C:$C)</f>
        <v>5</v>
      </c>
    </row>
    <row r="51" ht="14.25" customHeight="1">
      <c r="A51" s="26">
        <v>6265.0</v>
      </c>
      <c r="B51" s="8" t="str">
        <f>IFERROR(VLOOKUP(A51, Ingreso!$B:$H, 2, FALSE), "Buscando...")</f>
        <v>Dispensador Agua Electrico USB</v>
      </c>
      <c r="C51" s="8">
        <f>IFERROR(VLOOKUP(A51, Ingreso!$B:$H, 7, FALSE), 0) - SUMIF(ventas!$A:$A, A51, ventas!$C:$C)</f>
        <v>10</v>
      </c>
    </row>
    <row r="52" ht="14.25" customHeight="1">
      <c r="A52" s="26" t="s">
        <v>76</v>
      </c>
      <c r="B52" s="8" t="str">
        <f>IFERROR(VLOOKUP(A52, Ingreso!$B:$H, 2, FALSE), "Buscando...")</f>
        <v>Masajeador Corporal recargable</v>
      </c>
      <c r="C52" s="8">
        <f>IFERROR(VLOOKUP(A52, Ingreso!$B:$H, 7, FALSE), 0) - SUMIF(ventas!$A:$A, A52, ventas!$C:$C)</f>
        <v>9</v>
      </c>
    </row>
    <row r="53" ht="14.25" customHeight="1">
      <c r="A53" s="26">
        <v>13465.0</v>
      </c>
      <c r="B53" s="8" t="str">
        <f>IFERROR(VLOOKUP(A53, Ingreso!$B:$H, 2, FALSE), "Buscando...")</f>
        <v>Masajeador Facial Hielo</v>
      </c>
      <c r="C53" s="8">
        <f>IFERROR(VLOOKUP(A53, Ingreso!$B:$H, 7, FALSE), 0) - SUMIF(ventas!$A:$A, A53, ventas!$C:$C)</f>
        <v>14</v>
      </c>
    </row>
    <row r="54" ht="14.25" customHeight="1">
      <c r="A54" s="41">
        <v>13935.0</v>
      </c>
      <c r="B54" s="8" t="str">
        <f>IFERROR(VLOOKUP(A54, Ingreso!$B:$H, 2, FALSE), "Buscando...")</f>
        <v>Espumador de leche electrico </v>
      </c>
      <c r="C54" s="8">
        <f>IFERROR(VLOOKUP(A54, Ingreso!$B:$H, 7, FALSE), 0) - SUMIF(ventas!$A:$A, A54, ventas!$C:$C)</f>
        <v>3</v>
      </c>
    </row>
    <row r="55" ht="14.25" customHeight="1">
      <c r="A55" s="38">
        <v>13517.0</v>
      </c>
      <c r="B55" s="8" t="str">
        <f>IFERROR(VLOOKUP(A55, Ingreso!$B:$H, 2, FALSE), "Buscando...")</f>
        <v>Huevera Plastica </v>
      </c>
      <c r="C55" s="8">
        <f>IFERROR(VLOOKUP(A55, Ingreso!$B:$H, 7, FALSE), 0) - SUMIF(ventas!$A:$A, A55, ventas!$C:$C)</f>
        <v>0</v>
      </c>
    </row>
    <row r="56" ht="14.25" customHeight="1">
      <c r="A56" s="48">
        <v>6242.0</v>
      </c>
      <c r="B56" s="8" t="str">
        <f>IFERROR(VLOOKUP(A56, Ingreso!$B:$H, 2, FALSE), "Buscando...")</f>
        <v>Caja esencias 12 und 3ml</v>
      </c>
      <c r="C56" s="8">
        <f>IFERROR(VLOOKUP(A56, Ingreso!$B:$H, 7, FALSE), 0) - SUMIF(ventas!$A:$A, A56, ventas!$C:$C)</f>
        <v>1</v>
      </c>
    </row>
    <row r="57" ht="14.25" customHeight="1">
      <c r="A57" s="50">
        <v>423722.0</v>
      </c>
      <c r="B57" s="8" t="str">
        <f>IFERROR(VLOOKUP(A57, Ingreso!$B:$H, 2, FALSE), "Buscando...")</f>
        <v>Filtro Piscina Bestway v25</v>
      </c>
      <c r="C57" s="8">
        <f>IFERROR(VLOOKUP(A57, Ingreso!$B:$H, 7, FALSE), 0) - SUMIF(ventas!$A:$A, A57, ventas!$C:$C)</f>
        <v>1</v>
      </c>
    </row>
    <row r="58" ht="14.25" customHeight="1">
      <c r="A58" s="30">
        <v>423524.0</v>
      </c>
      <c r="B58" s="8" t="str">
        <f>IFERROR(VLOOKUP(A58, Ingreso!$B:$H, 2, FALSE), "Buscando...")</f>
        <v>Piscina Inflable Arcoiris 157*46cm</v>
      </c>
      <c r="C58" s="8">
        <f>IFERROR(VLOOKUP(A58, Ingreso!$B:$H, 7, FALSE), 0) - SUMIF(ventas!$A:$A, A58, ventas!$C:$C)</f>
        <v>5</v>
      </c>
    </row>
    <row r="59" ht="14.25" customHeight="1">
      <c r="A59" s="30">
        <v>571010.0</v>
      </c>
      <c r="B59" s="8" t="str">
        <f>IFERROR(VLOOKUP(A59, Ingreso!$B:$H, 2, FALSE), "Buscando...")</f>
        <v>Piscina First Fast Set Inflable</v>
      </c>
      <c r="C59" s="8">
        <f>IFERROR(VLOOKUP(A59, Ingreso!$B:$H, 7, FALSE), 0) - SUMIF(ventas!$A:$A, A59, ventas!$C:$C)</f>
        <v>6</v>
      </c>
    </row>
    <row r="60" ht="14.25" customHeight="1">
      <c r="A60" s="30">
        <v>423395.0</v>
      </c>
      <c r="B60" s="8" t="str">
        <f>IFERROR(VLOOKUP(A60, Ingreso!$B:$H, 2, FALSE), "Buscando...")</f>
        <v>Sillon Inflable Arcoiris</v>
      </c>
      <c r="C60" s="8">
        <f>IFERROR(VLOOKUP(A60, Ingreso!$B:$H, 7, FALSE), 0) - SUMIF(ventas!$A:$A, A60, ventas!$C:$C)</f>
        <v>6</v>
      </c>
    </row>
    <row r="61" ht="14.25" customHeight="1">
      <c r="A61" s="26" t="s">
        <v>179</v>
      </c>
      <c r="B61" s="8" t="str">
        <f>IFERROR(VLOOKUP(A61, Ingreso!$B:$H, 2, FALSE), "Buscando...")</f>
        <v>Set Pinche mas esponjas</v>
      </c>
      <c r="C61" s="8">
        <f>IFERROR(VLOOKUP(A61, Ingreso!$B:$H, 7, FALSE), 0) - SUMIF(ventas!$A:$A, A61, ventas!$C:$C)</f>
        <v>11</v>
      </c>
    </row>
    <row r="62" ht="14.25" customHeight="1">
      <c r="A62" s="26" t="s">
        <v>69</v>
      </c>
      <c r="B62" s="8" t="str">
        <f>IFERROR(VLOOKUP(A62, Ingreso!$B:$H, 2, FALSE), "Buscando...")</f>
        <v>Serum vitamina C 50ml</v>
      </c>
      <c r="C62" s="8">
        <f>IFERROR(VLOOKUP(A62, Ingreso!$B:$H, 7, FALSE), 0) - SUMIF(ventas!$A:$A, A62, ventas!$C:$C)</f>
        <v>11</v>
      </c>
    </row>
    <row r="63" ht="14.25" customHeight="1">
      <c r="A63" s="26" t="s">
        <v>182</v>
      </c>
      <c r="B63" s="8" t="str">
        <f>IFERROR(VLOOKUP(A63, Ingreso!$B:$H, 2, FALSE), "Buscando...")</f>
        <v>Serum colágeno 50ml</v>
      </c>
      <c r="C63" s="8">
        <f>IFERROR(VLOOKUP(A63, Ingreso!$B:$H, 7, FALSE), 0) - SUMIF(ventas!$A:$A, A63, ventas!$C:$C)</f>
        <v>12</v>
      </c>
    </row>
    <row r="64" ht="14.25" customHeight="1">
      <c r="A64" s="26" t="s">
        <v>71</v>
      </c>
      <c r="B64" s="8" t="str">
        <f>IFERROR(VLOOKUP(A64, Ingreso!$B:$H, 2, FALSE), "Buscando...")</f>
        <v>Crema vitamina C 50g</v>
      </c>
      <c r="C64" s="8">
        <f>IFERROR(VLOOKUP(A64, Ingreso!$B:$H, 7, FALSE), 0) - SUMIF(ventas!$A:$A, A64, ventas!$C:$C)</f>
        <v>11</v>
      </c>
    </row>
    <row r="65" ht="14.25" customHeight="1">
      <c r="A65" s="26" t="s">
        <v>185</v>
      </c>
      <c r="B65" s="8" t="str">
        <f>IFERROR(VLOOKUP(A65, Ingreso!$B:$H, 2, FALSE), "Buscando...")</f>
        <v>Crema colágeno 50g</v>
      </c>
      <c r="C65" s="8">
        <f>IFERROR(VLOOKUP(A65, Ingreso!$B:$H, 7, FALSE), 0) - SUMIF(ventas!$A:$A, A65, ventas!$C:$C)</f>
        <v>12</v>
      </c>
    </row>
    <row r="66" ht="14.25" customHeight="1">
      <c r="A66" s="26" t="s">
        <v>187</v>
      </c>
      <c r="B66" s="8" t="str">
        <f>IFERROR(VLOOKUP(A66, Ingreso!$B:$H, 2, FALSE), "Buscando...")</f>
        <v>Set skincare mas esponjas 6pcs</v>
      </c>
      <c r="C66" s="8">
        <f>IFERROR(VLOOKUP(A66, Ingreso!$B:$H, 7, FALSE), 0) - SUMIF(ventas!$A:$A, A66, ventas!$C:$C)</f>
        <v>12</v>
      </c>
    </row>
    <row r="67" ht="14.25" customHeight="1">
      <c r="A67" s="30">
        <v>1010.0</v>
      </c>
      <c r="B67" s="8" t="str">
        <f>IFERROR(VLOOKUP(A67, Ingreso!$B:$H, 2, FALSE), "Buscando...")</f>
        <v>Centrifuga para ensaladas</v>
      </c>
      <c r="C67" s="8">
        <f>IFERROR(VLOOKUP(A67, Ingreso!$B:$H, 7, FALSE), 0) - SUMIF(ventas!$A:$A, A67, ventas!$C:$C)</f>
        <v>2</v>
      </c>
    </row>
    <row r="68" ht="14.25" customHeight="1">
      <c r="A68" s="30">
        <v>3030.0</v>
      </c>
      <c r="B68" s="8" t="str">
        <f>IFERROR(VLOOKUP(A68, Ingreso!$B:$H, 2, FALSE), "Buscando...")</f>
        <v>Botella vidrio para aceite 350ml</v>
      </c>
      <c r="C68" s="8">
        <f>IFERROR(VLOOKUP(A68, Ingreso!$B:$H, 7, FALSE), 0) - SUMIF(ventas!$A:$A, A68, ventas!$C:$C)</f>
        <v>3</v>
      </c>
    </row>
    <row r="69" ht="14.25" customHeight="1">
      <c r="A69" s="30">
        <v>5050.0</v>
      </c>
      <c r="B69" s="8" t="str">
        <f>IFERROR(VLOOKUP(A69, Ingreso!$B:$H, 2, FALSE), "Buscando...")</f>
        <v>Colador Tela 14cm</v>
      </c>
      <c r="C69" s="8">
        <f>IFERROR(VLOOKUP(A69, Ingreso!$B:$H, 7, FALSE), 0) - SUMIF(ventas!$A:$A, A69, ventas!$C:$C)</f>
        <v>3</v>
      </c>
    </row>
    <row r="70" ht="14.25" customHeight="1">
      <c r="A70" s="30">
        <v>2020.0</v>
      </c>
      <c r="B70" s="8" t="str">
        <f>IFERROR(VLOOKUP(A70, Ingreso!$B:$H, 2, FALSE), "Buscando...")</f>
        <v>Lechero 1200ml</v>
      </c>
      <c r="C70" s="8">
        <f>IFERROR(VLOOKUP(A70, Ingreso!$B:$H, 7, FALSE), 0) - SUMIF(ventas!$A:$A, A70, ventas!$C:$C)</f>
        <v>6</v>
      </c>
    </row>
    <row r="71" ht="14.25" customHeight="1">
      <c r="A71" s="30">
        <v>4040.0</v>
      </c>
      <c r="B71" s="8" t="str">
        <f>IFERROR(VLOOKUP(A71, Ingreso!$B:$H, 2, FALSE), "Buscando...")</f>
        <v>Balanza Cocina</v>
      </c>
      <c r="C71" s="8">
        <f>IFERROR(VLOOKUP(A71, Ingreso!$B:$H, 7, FALSE), 0) - SUMIF(ventas!$A:$A, A71, ventas!$C:$C)</f>
        <v>6</v>
      </c>
    </row>
    <row r="72" ht="14.25" customHeight="1">
      <c r="A72" s="30">
        <v>7070.0</v>
      </c>
      <c r="B72" s="8" t="str">
        <f>IFERROR(VLOOKUP(A72, Ingreso!$B:$H, 2, FALSE), "Buscando...")</f>
        <v>Gramera Digital 10kg</v>
      </c>
      <c r="C72" s="8">
        <f>IFERROR(VLOOKUP(A72, Ingreso!$B:$H, 7, FALSE), 0) - SUMIF(ventas!$A:$A, A72, ventas!$C:$C)</f>
        <v>6</v>
      </c>
    </row>
    <row r="73" ht="14.25" customHeight="1">
      <c r="A73" s="30">
        <v>6060.0</v>
      </c>
      <c r="B73" s="8" t="str">
        <f>IFERROR(VLOOKUP(A73, Ingreso!$B:$H, 2, FALSE), "Buscando...")</f>
        <v>Tostador Mango Madera</v>
      </c>
      <c r="C73" s="8">
        <f>IFERROR(VLOOKUP(A73, Ingreso!$B:$H, 7, FALSE), 0) - SUMIF(ventas!$A:$A, A73, ventas!$C:$C)</f>
        <v>8</v>
      </c>
    </row>
    <row r="74" ht="14.25" customHeight="1">
      <c r="A74" s="38">
        <v>3131.0</v>
      </c>
      <c r="B74" s="8" t="str">
        <f>IFERROR(VLOOKUP(A74, Ingreso!$B:$H, 2, FALSE), "Buscando...")</f>
        <v>Exprimidor Limon Vidrio</v>
      </c>
      <c r="C74" s="8">
        <f>IFERROR(VLOOKUP(A74, Ingreso!$B:$H, 7, FALSE), 0) - SUMIF(ventas!$A:$A, A74, ventas!$C:$C)</f>
        <v>9</v>
      </c>
    </row>
    <row r="75" ht="14.25" customHeight="1">
      <c r="A75" s="38">
        <v>826840.0</v>
      </c>
      <c r="B75" s="8" t="str">
        <f>IFERROR(VLOOKUP(A75, Ingreso!$B:$H, 2, FALSE), "Buscando...")</f>
        <v>Azucarero vidrio relieve</v>
      </c>
      <c r="C75" s="8">
        <f>IFERROR(VLOOKUP(A75, Ingreso!$B:$H, 7, FALSE), 0) - SUMIF(ventas!$A:$A, A75, ventas!$C:$C)</f>
        <v>4</v>
      </c>
    </row>
    <row r="76" ht="14.25" customHeight="1">
      <c r="A76" s="38">
        <v>39756.0</v>
      </c>
      <c r="B76" s="8" t="str">
        <f>IFERROR(VLOOKUP(A76, Ingreso!$B:$H, 2, FALSE), "Buscando...")</f>
        <v>Sarten de animalitos</v>
      </c>
      <c r="C76" s="8">
        <f>IFERROR(VLOOKUP(A76, Ingreso!$B:$H, 7, FALSE), 0) - SUMIF(ventas!$A:$A, A76, ventas!$C:$C)</f>
        <v>3</v>
      </c>
    </row>
    <row r="77" ht="14.25" customHeight="1">
      <c r="A77" s="38">
        <v>61508.0</v>
      </c>
      <c r="B77" s="8" t="str">
        <f>IFERROR(VLOOKUP(A77, Ingreso!$B:$H, 2, FALSE), "Buscando...")</f>
        <v>Tetera Infusora Vidrio </v>
      </c>
      <c r="C77" s="8">
        <f>IFERROR(VLOOKUP(A77, Ingreso!$B:$H, 7, FALSE), 0) - SUMIF(ventas!$A:$A, A77, ventas!$C:$C)</f>
        <v>2</v>
      </c>
    </row>
    <row r="78" ht="14.25" customHeight="1">
      <c r="A78" s="38" t="s">
        <v>203</v>
      </c>
      <c r="B78" s="8" t="str">
        <f>IFERROR(VLOOKUP(A78, Ingreso!$B:$H, 2, FALSE), "Buscando...")</f>
        <v>Cargador Inalambrico Magsafe </v>
      </c>
      <c r="C78" s="8">
        <f>IFERROR(VLOOKUP(A78, Ingreso!$B:$H, 7, FALSE), 0) - SUMIF(ventas!$A:$A, A78, ventas!$C:$C)</f>
        <v>3</v>
      </c>
    </row>
    <row r="79" ht="14.25" customHeight="1">
      <c r="A79" s="38">
        <v>52507.0</v>
      </c>
      <c r="B79" s="8" t="str">
        <f>IFERROR(VLOOKUP(A79, Ingreso!$B:$H, 2, FALSE), "Buscando...")</f>
        <v>Audifonos Airpods Pro 2 </v>
      </c>
      <c r="C79" s="8">
        <f>IFERROR(VLOOKUP(A79, Ingreso!$B:$H, 7, FALSE), 0) - SUMIF(ventas!$A:$A, A79, ventas!$C:$C)</f>
        <v>-1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C$79">
    <sortState ref="A3:C79">
      <sortCondition ref="C3:C79"/>
      <sortCondition ref="B3:B79"/>
    </sortState>
  </autoFilter>
  <mergeCells count="1">
    <mergeCell ref="A1:C1"/>
  </mergeCells>
  <conditionalFormatting sqref="C1:C1000">
    <cfRule type="cellIs" dxfId="1" priority="1" operator="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5.0"/>
    <col customWidth="1" min="2" max="2" width="45.0"/>
    <col customWidth="1" min="3" max="3" width="12.0"/>
    <col customWidth="1" min="4" max="4" width="15.0"/>
    <col customWidth="1" min="5" max="5" width="20.0"/>
    <col customWidth="1" min="6" max="6" width="15.0"/>
    <col customWidth="1" min="7" max="7" width="18.0"/>
    <col customWidth="1" min="8" max="8" width="15.0"/>
    <col customWidth="1" min="9" max="9" width="18.0"/>
    <col customWidth="1" min="10" max="26" width="8.75"/>
  </cols>
  <sheetData>
    <row r="1" ht="23.25" customHeight="1">
      <c r="A1" s="59" t="s">
        <v>209</v>
      </c>
      <c r="B1" s="60"/>
      <c r="C1" s="60"/>
      <c r="D1" s="60"/>
      <c r="E1" s="61"/>
    </row>
    <row r="2" ht="14.25" customHeight="1">
      <c r="A2" s="22"/>
    </row>
    <row r="3" ht="15.75" customHeight="1">
      <c r="A3" s="20" t="s">
        <v>104</v>
      </c>
      <c r="B3" s="20" t="s">
        <v>210</v>
      </c>
      <c r="C3" s="20" t="s">
        <v>211</v>
      </c>
      <c r="D3" s="20" t="s">
        <v>212</v>
      </c>
      <c r="E3" s="20" t="s">
        <v>213</v>
      </c>
      <c r="F3" s="20" t="s">
        <v>214</v>
      </c>
      <c r="G3" s="20" t="s">
        <v>215</v>
      </c>
      <c r="H3" s="20" t="s">
        <v>216</v>
      </c>
      <c r="I3" s="20" t="s">
        <v>217</v>
      </c>
    </row>
    <row r="4" ht="14.25" customHeight="1">
      <c r="A4" s="62" t="s">
        <v>166</v>
      </c>
      <c r="B4" s="63" t="str">
        <f>IF(A4&lt;&gt;"", IFERROR(VLOOKUP(A4, Ingreso!$B:$H, 2, FALSE), "No existe SKU"), "")</f>
        <v>Humidificador electrico USB</v>
      </c>
      <c r="C4" s="64">
        <v>1.0</v>
      </c>
      <c r="D4" s="65">
        <f>C4*( VLOOKUP(A4,Ingreso!B:G,6,0))</f>
        <v>3890</v>
      </c>
      <c r="E4" s="63" t="s">
        <v>19</v>
      </c>
      <c r="F4" s="65">
        <f>IF(A4&lt;&gt;"", IFERROR(VLOOKUP(A4, Ingreso!$B:$D, 3, FALSE), 0), "")</f>
        <v>1900</v>
      </c>
      <c r="G4" s="65">
        <f t="shared" ref="G4:G97" si="1">IF(A4&lt;&gt;"", (D4 - (IFERROR(F4,0) * C4)) - H4 - I4, "")</f>
        <v>1510.76</v>
      </c>
      <c r="H4" s="65">
        <f t="shared" ref="H4:H97" si="2">IF(A4&lt;&gt;"", (D4 - (IFERROR(F4,0) * C4)) * 0.19, "")</f>
        <v>378.1</v>
      </c>
      <c r="I4" s="65">
        <f t="shared" ref="I4:I97" si="3">IF(AND(A4&lt;&gt;"", E4="Tarjeta"), D4 * 0.026, 0)</f>
        <v>101.14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4.25" customHeight="1">
      <c r="A5" s="62">
        <v>13465.0</v>
      </c>
      <c r="B5" s="63" t="str">
        <f>IF(A5&lt;&gt;"", IFERROR(VLOOKUP(A5, Ingreso!$B:$H, 2, FALSE), "No existe SKU"), "")</f>
        <v>Masajeador Facial Hielo</v>
      </c>
      <c r="C5" s="64">
        <v>1.0</v>
      </c>
      <c r="D5" s="65">
        <f>C5*( VLOOKUP(A5,Ingreso!B:G,6,0))</f>
        <v>1990</v>
      </c>
      <c r="E5" s="63" t="s">
        <v>19</v>
      </c>
      <c r="F5" s="65">
        <f>IF(A5&lt;&gt;"", IFERROR(VLOOKUP(A5, Ingreso!$B:$D, 3, FALSE), 0), "")</f>
        <v>1000</v>
      </c>
      <c r="G5" s="65">
        <f t="shared" si="1"/>
        <v>750.16</v>
      </c>
      <c r="H5" s="65">
        <f t="shared" si="2"/>
        <v>188.1</v>
      </c>
      <c r="I5" s="65">
        <f t="shared" si="3"/>
        <v>51.74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4.25" customHeight="1">
      <c r="A6" s="67">
        <v>807597.0</v>
      </c>
      <c r="B6" s="63" t="str">
        <f>IF(A6&lt;&gt;"", IFERROR(VLOOKUP(A6, Ingreso!$B:$H, 2, FALSE), "No existe SKU"), "")</f>
        <v>Frasco para miel vidrio y bambu</v>
      </c>
      <c r="C6" s="68">
        <v>1.0</v>
      </c>
      <c r="D6" s="65">
        <f>C6*( VLOOKUP(A6,Ingreso!B:G,6,0))</f>
        <v>5290</v>
      </c>
      <c r="E6" s="69" t="s">
        <v>19</v>
      </c>
      <c r="F6" s="65">
        <f>IF(A6&lt;&gt;"", IFERROR(VLOOKUP(A6, Ingreso!$B:$D, 3, FALSE), 0), "")</f>
        <v>2600</v>
      </c>
      <c r="G6" s="65">
        <f t="shared" si="1"/>
        <v>2041.36</v>
      </c>
      <c r="H6" s="65">
        <f t="shared" si="2"/>
        <v>511.1</v>
      </c>
      <c r="I6" s="65">
        <f t="shared" si="3"/>
        <v>137.54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4.25" customHeight="1">
      <c r="A7" s="67">
        <v>22493.0</v>
      </c>
      <c r="B7" s="63" t="str">
        <f>IF(A7&lt;&gt;"", IFERROR(VLOOKUP(A7, Ingreso!$B:$H, 2, FALSE), "No existe SKU"), "")</f>
        <v>Caja organizadora Te 6 compartimientos 24*17*7cm</v>
      </c>
      <c r="C7" s="68">
        <v>1.0</v>
      </c>
      <c r="D7" s="65">
        <f>C7*( VLOOKUP(A7,Ingreso!B:G,6,0))</f>
        <v>6990</v>
      </c>
      <c r="E7" s="69" t="s">
        <v>19</v>
      </c>
      <c r="F7" s="65">
        <f>IF(A7&lt;&gt;"", IFERROR(VLOOKUP(A7, Ingreso!$B:$D, 3, FALSE), 0), "")</f>
        <v>3500</v>
      </c>
      <c r="G7" s="65">
        <f t="shared" si="1"/>
        <v>2645.16</v>
      </c>
      <c r="H7" s="65">
        <f t="shared" si="2"/>
        <v>663.1</v>
      </c>
      <c r="I7" s="65">
        <f t="shared" si="3"/>
        <v>181.74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4.25" customHeight="1">
      <c r="A8" s="67">
        <v>15154.0</v>
      </c>
      <c r="B8" s="63" t="str">
        <f>IF(A8&lt;&gt;"", IFERROR(VLOOKUP(A8, Ingreso!$B:$H, 2, FALSE), "No existe SKU"), "")</f>
        <v>tripack paños de cocina</v>
      </c>
      <c r="C8" s="68">
        <v>1.0</v>
      </c>
      <c r="D8" s="65">
        <f>C8*( VLOOKUP(A8,Ingreso!B:G,6,0))</f>
        <v>4690</v>
      </c>
      <c r="E8" s="69" t="s">
        <v>19</v>
      </c>
      <c r="F8" s="65">
        <f>IF(A8&lt;&gt;"", IFERROR(VLOOKUP(A8, Ingreso!$B:$D, 3, FALSE), 0), "")</f>
        <v>2300</v>
      </c>
      <c r="G8" s="65">
        <f t="shared" si="1"/>
        <v>1813.96</v>
      </c>
      <c r="H8" s="65">
        <f t="shared" si="2"/>
        <v>454.1</v>
      </c>
      <c r="I8" s="65">
        <f t="shared" si="3"/>
        <v>121.94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4.25" customHeight="1">
      <c r="A9" s="70">
        <v>6060.0</v>
      </c>
      <c r="B9" s="63" t="str">
        <f>IF(A9&lt;&gt;"", IFERROR(VLOOKUP(A9, Ingreso!$B:$H, 2, FALSE), "No existe SKU"), "")</f>
        <v>Tostador Mango Madera</v>
      </c>
      <c r="C9" s="68">
        <v>1.0</v>
      </c>
      <c r="D9" s="65">
        <f>C9*( VLOOKUP(A9,Ingreso!B:G,6,0))</f>
        <v>2990</v>
      </c>
      <c r="E9" s="69" t="s">
        <v>21</v>
      </c>
      <c r="F9" s="65">
        <f>IF(A9&lt;&gt;"", IFERROR(VLOOKUP(A9, Ingreso!$B:$D, 3, FALSE), 0), "")</f>
        <v>1000</v>
      </c>
      <c r="G9" s="65">
        <f t="shared" si="1"/>
        <v>1611.9</v>
      </c>
      <c r="H9" s="65">
        <f t="shared" si="2"/>
        <v>378.1</v>
      </c>
      <c r="I9" s="65">
        <f t="shared" si="3"/>
        <v>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4.25" customHeight="1">
      <c r="A10" s="71">
        <v>50948.0</v>
      </c>
      <c r="B10" s="63" t="str">
        <f>IF(A10&lt;&gt;"", IFERROR(VLOOKUP(A10, Ingreso!$B:$H, 2, FALSE), "No existe SKU"), "")</f>
        <v>Salvamantel Metalico 18*18*1,5cm</v>
      </c>
      <c r="C10" s="68">
        <v>1.0</v>
      </c>
      <c r="D10" s="65">
        <f>C10*( VLOOKUP(A10,Ingreso!B:G,6,0))</f>
        <v>2690</v>
      </c>
      <c r="E10" s="69" t="s">
        <v>21</v>
      </c>
      <c r="F10" s="65">
        <f>IF(A10&lt;&gt;"", IFERROR(VLOOKUP(A10, Ingreso!$B:$D, 3, FALSE), 0), "")</f>
        <v>1300</v>
      </c>
      <c r="G10" s="65">
        <f t="shared" si="1"/>
        <v>1125.9</v>
      </c>
      <c r="H10" s="65">
        <f t="shared" si="2"/>
        <v>264.1</v>
      </c>
      <c r="I10" s="65">
        <f t="shared" si="3"/>
        <v>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4.25" customHeight="1">
      <c r="A11" s="70">
        <v>3131.0</v>
      </c>
      <c r="B11" s="63" t="str">
        <f>IF(A11&lt;&gt;"", IFERROR(VLOOKUP(A11, Ingreso!$B:$H, 2, FALSE), "No existe SKU"), "")</f>
        <v>Exprimidor Limon Vidrio</v>
      </c>
      <c r="C11" s="68">
        <v>1.0</v>
      </c>
      <c r="D11" s="65">
        <f>C11*( VLOOKUP(A11,Ingreso!B:G,6,0))</f>
        <v>1990</v>
      </c>
      <c r="E11" s="69" t="s">
        <v>21</v>
      </c>
      <c r="F11" s="65">
        <f>IF(A11&lt;&gt;"", IFERROR(VLOOKUP(A11, Ingreso!$B:$D, 3, FALSE), 0), "")</f>
        <v>950</v>
      </c>
      <c r="G11" s="65">
        <f t="shared" si="1"/>
        <v>842.4</v>
      </c>
      <c r="H11" s="65">
        <f t="shared" si="2"/>
        <v>197.6</v>
      </c>
      <c r="I11" s="65">
        <f t="shared" si="3"/>
        <v>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4.25" customHeight="1">
      <c r="A12" s="71">
        <v>23712.0</v>
      </c>
      <c r="B12" s="63" t="str">
        <f>IF(A12&lt;&gt;"", IFERROR(VLOOKUP(A12, Ingreso!$B:$H, 2, FALSE), "No existe SKU"), "")</f>
        <v>Destapador de botellas Basquetbol 6,5*15*20cm</v>
      </c>
      <c r="C12" s="68">
        <v>1.0</v>
      </c>
      <c r="D12" s="65">
        <f>C12*( VLOOKUP(A12,Ingreso!B:G,6,0))</f>
        <v>5590</v>
      </c>
      <c r="E12" s="69" t="s">
        <v>21</v>
      </c>
      <c r="F12" s="65">
        <f>IF(A12&lt;&gt;"", IFERROR(VLOOKUP(A12, Ingreso!$B:$D, 3, FALSE), 0), "")</f>
        <v>2750</v>
      </c>
      <c r="G12" s="65">
        <f t="shared" si="1"/>
        <v>2300.4</v>
      </c>
      <c r="H12" s="65">
        <f t="shared" si="2"/>
        <v>539.6</v>
      </c>
      <c r="I12" s="65">
        <f t="shared" si="3"/>
        <v>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4.25" customHeight="1">
      <c r="A13" s="71">
        <v>809939.0</v>
      </c>
      <c r="B13" s="63" t="str">
        <f>IF(A13&lt;&gt;"", IFERROR(VLOOKUP(A13, Ingreso!$B:$H, 2, FALSE), "No existe SKU"), "")</f>
        <v>Set de especies 8und bambu</v>
      </c>
      <c r="C13" s="68">
        <v>1.0</v>
      </c>
      <c r="D13" s="65">
        <f>C13*( VLOOKUP(A13,Ingreso!B:G,6,0))</f>
        <v>17990</v>
      </c>
      <c r="E13" s="69" t="s">
        <v>21</v>
      </c>
      <c r="F13" s="65">
        <f>IF(A13&lt;&gt;"", IFERROR(VLOOKUP(A13, Ingreso!$B:$D, 3, FALSE), 0), "")</f>
        <v>9000</v>
      </c>
      <c r="G13" s="65">
        <f t="shared" si="1"/>
        <v>7281.9</v>
      </c>
      <c r="H13" s="65">
        <f t="shared" si="2"/>
        <v>1708.1</v>
      </c>
      <c r="I13" s="65">
        <f t="shared" si="3"/>
        <v>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4.25" customHeight="1">
      <c r="A14" s="71">
        <v>807597.0</v>
      </c>
      <c r="B14" s="63" t="str">
        <f>IF(A14&lt;&gt;"", IFERROR(VLOOKUP(A14, Ingreso!$B:$H, 2, FALSE), "No existe SKU"), "")</f>
        <v>Frasco para miel vidrio y bambu</v>
      </c>
      <c r="C14" s="68">
        <v>1.0</v>
      </c>
      <c r="D14" s="65">
        <f>C14*( VLOOKUP(A14,Ingreso!B:G,6,0))</f>
        <v>5290</v>
      </c>
      <c r="E14" s="69" t="s">
        <v>21</v>
      </c>
      <c r="F14" s="65">
        <f>IF(A14&lt;&gt;"", IFERROR(VLOOKUP(A14, Ingreso!$B:$D, 3, FALSE), 0), "")</f>
        <v>2600</v>
      </c>
      <c r="G14" s="65">
        <f t="shared" si="1"/>
        <v>2178.9</v>
      </c>
      <c r="H14" s="65">
        <f t="shared" si="2"/>
        <v>511.1</v>
      </c>
      <c r="I14" s="65">
        <f t="shared" si="3"/>
        <v>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4.25" customHeight="1">
      <c r="A15" s="71">
        <v>807597.0</v>
      </c>
      <c r="B15" s="63" t="str">
        <f>IF(A15&lt;&gt;"", IFERROR(VLOOKUP(A15, Ingreso!$B:$H, 2, FALSE), "No existe SKU"), "")</f>
        <v>Frasco para miel vidrio y bambu</v>
      </c>
      <c r="C15" s="68">
        <v>1.0</v>
      </c>
      <c r="D15" s="65">
        <f>C15*( VLOOKUP(A15,Ingreso!B:G,6,0))</f>
        <v>5290</v>
      </c>
      <c r="E15" s="69" t="s">
        <v>17</v>
      </c>
      <c r="F15" s="65">
        <f>IF(A15&lt;&gt;"", IFERROR(VLOOKUP(A15, Ingreso!$B:$D, 3, FALSE), 0), "")</f>
        <v>2600</v>
      </c>
      <c r="G15" s="65">
        <f t="shared" si="1"/>
        <v>2178.9</v>
      </c>
      <c r="H15" s="65">
        <f t="shared" si="2"/>
        <v>511.1</v>
      </c>
      <c r="I15" s="65">
        <f t="shared" si="3"/>
        <v>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4.25" customHeight="1">
      <c r="A16" s="71">
        <v>22354.0</v>
      </c>
      <c r="B16" s="63" t="str">
        <f>IF(A16&lt;&gt;"", IFERROR(VLOOKUP(A16, Ingreso!$B:$H, 2, FALSE), "No existe SKU"), "")</f>
        <v>Colgador para Llaves pajaros dorado 20*20cm</v>
      </c>
      <c r="C16" s="68">
        <v>1.0</v>
      </c>
      <c r="D16" s="65">
        <f>C16*( VLOOKUP(A16,Ingreso!B:G,6,0))</f>
        <v>3890</v>
      </c>
      <c r="E16" s="69" t="s">
        <v>17</v>
      </c>
      <c r="F16" s="65">
        <f>IF(A16&lt;&gt;"", IFERROR(VLOOKUP(A16, Ingreso!$B:$D, 3, FALSE), 0), "")</f>
        <v>1900</v>
      </c>
      <c r="G16" s="65">
        <f t="shared" si="1"/>
        <v>1611.9</v>
      </c>
      <c r="H16" s="65">
        <f t="shared" si="2"/>
        <v>378.1</v>
      </c>
      <c r="I16" s="65">
        <f t="shared" si="3"/>
        <v>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4.25" customHeight="1">
      <c r="A17" s="71">
        <v>1515.0</v>
      </c>
      <c r="B17" s="63" t="str">
        <f>IF(A17&lt;&gt;"", IFERROR(VLOOKUP(A17, Ingreso!$B:$H, 2, FALSE), "No existe SKU"), "")</f>
        <v>Salero y Pimentero Pareja</v>
      </c>
      <c r="C17" s="68">
        <v>1.0</v>
      </c>
      <c r="D17" s="65">
        <f>C17*( VLOOKUP(A17,Ingreso!B:G,6,0))</f>
        <v>4990</v>
      </c>
      <c r="E17" s="69" t="s">
        <v>21</v>
      </c>
      <c r="F17" s="65">
        <f>IF(A17&lt;&gt;"", IFERROR(VLOOKUP(A17, Ingreso!$B:$D, 3, FALSE), 0), "")</f>
        <v>2500</v>
      </c>
      <c r="G17" s="65">
        <f t="shared" si="1"/>
        <v>2016.9</v>
      </c>
      <c r="H17" s="65">
        <f t="shared" si="2"/>
        <v>473.1</v>
      </c>
      <c r="I17" s="65">
        <f t="shared" si="3"/>
        <v>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4.25" customHeight="1">
      <c r="A18" s="71">
        <v>1616.0</v>
      </c>
      <c r="B18" s="63" t="str">
        <f>IF(A18&lt;&gt;"", IFERROR(VLOOKUP(A18, Ingreso!$B:$H, 2, FALSE), "No existe SKU"), "")</f>
        <v>Guatero infantil Patito</v>
      </c>
      <c r="C18" s="68">
        <v>1.0</v>
      </c>
      <c r="D18" s="65">
        <f>C18*( VLOOKUP(A18,Ingreso!B:G,6,0))</f>
        <v>4590</v>
      </c>
      <c r="E18" s="69" t="s">
        <v>21</v>
      </c>
      <c r="F18" s="65">
        <f>IF(A18&lt;&gt;"", IFERROR(VLOOKUP(A18, Ingreso!$B:$D, 3, FALSE), 0), "")</f>
        <v>2800</v>
      </c>
      <c r="G18" s="65">
        <f t="shared" si="1"/>
        <v>1449.9</v>
      </c>
      <c r="H18" s="65">
        <f t="shared" si="2"/>
        <v>340.1</v>
      </c>
      <c r="I18" s="65">
        <f t="shared" si="3"/>
        <v>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4.25" customHeight="1">
      <c r="A19" s="70">
        <v>3131.0</v>
      </c>
      <c r="B19" s="63" t="str">
        <f>IF(A19&lt;&gt;"", IFERROR(VLOOKUP(A19, Ingreso!$B:$H, 2, FALSE), "No existe SKU"), "")</f>
        <v>Exprimidor Limon Vidrio</v>
      </c>
      <c r="C19" s="68">
        <v>1.0</v>
      </c>
      <c r="D19" s="65">
        <f>C19*( VLOOKUP(A19,Ingreso!B:G,6,0))</f>
        <v>1990</v>
      </c>
      <c r="E19" s="69" t="s">
        <v>21</v>
      </c>
      <c r="F19" s="65">
        <f>IF(A19&lt;&gt;"", IFERROR(VLOOKUP(A19, Ingreso!$B:$D, 3, FALSE), 0), "")</f>
        <v>950</v>
      </c>
      <c r="G19" s="65">
        <f t="shared" si="1"/>
        <v>842.4</v>
      </c>
      <c r="H19" s="65">
        <f t="shared" si="2"/>
        <v>197.6</v>
      </c>
      <c r="I19" s="65">
        <f t="shared" si="3"/>
        <v>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4.25" customHeight="1">
      <c r="A20" s="71">
        <v>25936.0</v>
      </c>
      <c r="B20" s="63" t="str">
        <f>IF(A20&lt;&gt;"", IFERROR(VLOOKUP(A20, Ingreso!$B:$H, 2, FALSE), "No existe SKU"), "")</f>
        <v>Dispensador Lavalozas 18*12cm</v>
      </c>
      <c r="C20" s="68">
        <v>1.0</v>
      </c>
      <c r="D20" s="65">
        <f>C20*( VLOOKUP(A20,Ingreso!B:G,6,0))</f>
        <v>7890</v>
      </c>
      <c r="E20" s="69" t="s">
        <v>21</v>
      </c>
      <c r="F20" s="65">
        <f>IF(A20&lt;&gt;"", IFERROR(VLOOKUP(A20, Ingreso!$B:$D, 3, FALSE), 0), "")</f>
        <v>3900</v>
      </c>
      <c r="G20" s="65">
        <f t="shared" si="1"/>
        <v>3231.9</v>
      </c>
      <c r="H20" s="65">
        <f t="shared" si="2"/>
        <v>758.1</v>
      </c>
      <c r="I20" s="65">
        <f t="shared" si="3"/>
        <v>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4.25" customHeight="1">
      <c r="A21" s="70">
        <v>809939.0</v>
      </c>
      <c r="B21" s="63" t="str">
        <f>IF(A21&lt;&gt;"", IFERROR(VLOOKUP(A21, Ingreso!$B:$H, 2, FALSE), "No existe SKU"), "")</f>
        <v>Set de especies 8und bambu</v>
      </c>
      <c r="C21" s="68">
        <v>1.0</v>
      </c>
      <c r="D21" s="65">
        <f>C21*( VLOOKUP(A21,Ingreso!B:G,6,0))</f>
        <v>17990</v>
      </c>
      <c r="E21" s="69" t="s">
        <v>17</v>
      </c>
      <c r="F21" s="65">
        <f>IF(A21&lt;&gt;"", IFERROR(VLOOKUP(A21, Ingreso!$B:$D, 3, FALSE), 0), "")</f>
        <v>9000</v>
      </c>
      <c r="G21" s="65">
        <f t="shared" si="1"/>
        <v>7281.9</v>
      </c>
      <c r="H21" s="65">
        <f t="shared" si="2"/>
        <v>1708.1</v>
      </c>
      <c r="I21" s="65">
        <f t="shared" si="3"/>
        <v>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4.25" customHeight="1">
      <c r="A22" s="72">
        <v>1010.0</v>
      </c>
      <c r="B22" s="63" t="str">
        <f>IF(A22&lt;&gt;"", IFERROR(VLOOKUP(A22, Ingreso!$B:$H, 2, FALSE), "No existe SKU"), "")</f>
        <v>Centrifuga para ensaladas</v>
      </c>
      <c r="C22" s="68">
        <v>1.0</v>
      </c>
      <c r="D22" s="65">
        <f>C22*( VLOOKUP(A22,Ingreso!B:G,6,0))</f>
        <v>9690</v>
      </c>
      <c r="E22" s="69" t="s">
        <v>17</v>
      </c>
      <c r="F22" s="65">
        <f>IF(A22&lt;&gt;"", IFERROR(VLOOKUP(A22, Ingreso!$B:$D, 3, FALSE), 0), "")</f>
        <v>4800</v>
      </c>
      <c r="G22" s="65">
        <f t="shared" si="1"/>
        <v>3960.9</v>
      </c>
      <c r="H22" s="65">
        <f t="shared" si="2"/>
        <v>929.1</v>
      </c>
      <c r="I22" s="65">
        <f t="shared" si="3"/>
        <v>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4.25" customHeight="1">
      <c r="A23" s="72">
        <v>1010.0</v>
      </c>
      <c r="B23" s="63" t="str">
        <f>IF(A23&lt;&gt;"", IFERROR(VLOOKUP(A23, Ingreso!$B:$H, 2, FALSE), "No existe SKU"), "")</f>
        <v>Centrifuga para ensaladas</v>
      </c>
      <c r="C23" s="68">
        <v>1.0</v>
      </c>
      <c r="D23" s="65">
        <f>C23*( VLOOKUP(A23,Ingreso!B:G,6,0))</f>
        <v>9690</v>
      </c>
      <c r="E23" s="63"/>
      <c r="F23" s="65">
        <f>IF(A23&lt;&gt;"", IFERROR(VLOOKUP(A23, Ingreso!$B:$D, 3, FALSE), 0), "")</f>
        <v>4800</v>
      </c>
      <c r="G23" s="65">
        <f t="shared" si="1"/>
        <v>3960.9</v>
      </c>
      <c r="H23" s="65">
        <f t="shared" si="2"/>
        <v>929.1</v>
      </c>
      <c r="I23" s="65">
        <f t="shared" si="3"/>
        <v>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4.25" customHeight="1">
      <c r="A24" s="71">
        <v>19571.0</v>
      </c>
      <c r="B24" s="63" t="str">
        <f>IF(A24&lt;&gt;"", IFERROR(VLOOKUP(A24, Ingreso!$B:$H, 2, FALSE), "No existe SKU"), "")</f>
        <v>Cesta Ropa Cuadrada café con tapa 42*30*56cm</v>
      </c>
      <c r="C24" s="68">
        <v>1.0</v>
      </c>
      <c r="D24" s="65">
        <f>C24*( VLOOKUP(A24,Ingreso!B:G,6,0))</f>
        <v>15290</v>
      </c>
      <c r="E24" s="63"/>
      <c r="F24" s="65">
        <f>IF(A24&lt;&gt;"", IFERROR(VLOOKUP(A24, Ingreso!$B:$D, 3, FALSE), 0), "")</f>
        <v>7600</v>
      </c>
      <c r="G24" s="65">
        <f t="shared" si="1"/>
        <v>6228.9</v>
      </c>
      <c r="H24" s="65">
        <f t="shared" si="2"/>
        <v>1461.1</v>
      </c>
      <c r="I24" s="65">
        <f t="shared" si="3"/>
        <v>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4.25" customHeight="1">
      <c r="A25" s="71">
        <v>19571.0</v>
      </c>
      <c r="B25" s="63" t="str">
        <f>IF(A25&lt;&gt;"", IFERROR(VLOOKUP(A25, Ingreso!$B:$H, 2, FALSE), "No existe SKU"), "")</f>
        <v>Cesta Ropa Cuadrada café con tapa 42*30*56cm</v>
      </c>
      <c r="C25" s="68">
        <v>2.0</v>
      </c>
      <c r="D25" s="65">
        <f>C25*( VLOOKUP(A25,Ingreso!B:G,6,0))</f>
        <v>30580</v>
      </c>
      <c r="E25" s="63"/>
      <c r="F25" s="65">
        <f>IF(A25&lt;&gt;"", IFERROR(VLOOKUP(A25, Ingreso!$B:$D, 3, FALSE), 0), "")</f>
        <v>7600</v>
      </c>
      <c r="G25" s="65">
        <f t="shared" si="1"/>
        <v>12457.8</v>
      </c>
      <c r="H25" s="65">
        <f t="shared" si="2"/>
        <v>2922.2</v>
      </c>
      <c r="I25" s="65">
        <f t="shared" si="3"/>
        <v>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4.25" customHeight="1">
      <c r="A26" s="71">
        <v>1616.0</v>
      </c>
      <c r="B26" s="63" t="str">
        <f>IF(A26&lt;&gt;"", IFERROR(VLOOKUP(A26, Ingreso!$B:$H, 2, FALSE), "No existe SKU"), "")</f>
        <v>Guatero infantil Patito</v>
      </c>
      <c r="C26" s="68">
        <v>2.0</v>
      </c>
      <c r="D26" s="65">
        <f>C26*( VLOOKUP(A26,Ingreso!B:G,6,0))</f>
        <v>9180</v>
      </c>
      <c r="E26" s="63"/>
      <c r="F26" s="65">
        <f>IF(A26&lt;&gt;"", IFERROR(VLOOKUP(A26, Ingreso!$B:$D, 3, FALSE), 0), "")</f>
        <v>2800</v>
      </c>
      <c r="G26" s="65">
        <f t="shared" si="1"/>
        <v>2899.8</v>
      </c>
      <c r="H26" s="65">
        <f t="shared" si="2"/>
        <v>680.2</v>
      </c>
      <c r="I26" s="65">
        <f t="shared" si="3"/>
        <v>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4.25" customHeight="1">
      <c r="A27" s="71">
        <v>25936.0</v>
      </c>
      <c r="B27" s="63" t="str">
        <f>IF(A27&lt;&gt;"", IFERROR(VLOOKUP(A27, Ingreso!$B:$H, 2, FALSE), "No existe SKU"), "")</f>
        <v>Dispensador Lavalozas 18*12cm</v>
      </c>
      <c r="C27" s="68">
        <v>1.0</v>
      </c>
      <c r="D27" s="65">
        <f>C27*( VLOOKUP(A27,Ingreso!B:G,6,0))</f>
        <v>7890</v>
      </c>
      <c r="E27" s="63"/>
      <c r="F27" s="65">
        <f>IF(A27&lt;&gt;"", IFERROR(VLOOKUP(A27, Ingreso!$B:$D, 3, FALSE), 0), "")</f>
        <v>3900</v>
      </c>
      <c r="G27" s="65">
        <f t="shared" si="1"/>
        <v>3231.9</v>
      </c>
      <c r="H27" s="65">
        <f t="shared" si="2"/>
        <v>758.1</v>
      </c>
      <c r="I27" s="65">
        <f t="shared" si="3"/>
        <v>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4.25" customHeight="1">
      <c r="A28" s="71">
        <v>25936.0</v>
      </c>
      <c r="B28" s="8" t="str">
        <f>IF(A28&lt;&gt;"", IFERROR(VLOOKUP(A28, Ingreso!$B:$H, 2, FALSE), "No existe SKU"), "")</f>
        <v>Dispensador Lavalozas 18*12cm</v>
      </c>
      <c r="C28" s="73">
        <v>1.0</v>
      </c>
      <c r="D28" s="65">
        <f>C28*( VLOOKUP(A28,Ingreso!B:G,6,0))</f>
        <v>7890</v>
      </c>
      <c r="E28" s="74" t="s">
        <v>21</v>
      </c>
      <c r="F28" s="5">
        <f>IF(A28&lt;&gt;"", IFERROR(VLOOKUP(A28, Ingreso!$B:$D, 3, FALSE), 0), "")</f>
        <v>3900</v>
      </c>
      <c r="G28" s="5">
        <f t="shared" si="1"/>
        <v>3231.9</v>
      </c>
      <c r="H28" s="5">
        <f t="shared" si="2"/>
        <v>758.1</v>
      </c>
      <c r="I28" s="5">
        <f t="shared" si="3"/>
        <v>0</v>
      </c>
    </row>
    <row r="29" ht="14.25" customHeight="1">
      <c r="A29" s="75">
        <v>15511.0</v>
      </c>
      <c r="B29" s="8" t="str">
        <f>IF(A29&lt;&gt;"", IFERROR(VLOOKUP(A29, Ingreso!$B:$H, 2, FALSE), "No existe SKU"), "")</f>
        <v>Individual Tejido Grisazulado 38cm</v>
      </c>
      <c r="C29" s="73">
        <v>6.0</v>
      </c>
      <c r="D29" s="65">
        <f>C29*( VLOOKUP(A29,Ingreso!B:G,6,0))</f>
        <v>10140</v>
      </c>
      <c r="E29" s="8"/>
      <c r="F29" s="5">
        <f>IF(A29&lt;&gt;"", IFERROR(VLOOKUP(A29, Ingreso!$B:$D, 3, FALSE), 0), "")</f>
        <v>800</v>
      </c>
      <c r="G29" s="5">
        <f t="shared" si="1"/>
        <v>4325.4</v>
      </c>
      <c r="H29" s="5">
        <f t="shared" si="2"/>
        <v>1014.6</v>
      </c>
      <c r="I29" s="5">
        <f t="shared" si="3"/>
        <v>0</v>
      </c>
    </row>
    <row r="30" ht="14.25" customHeight="1">
      <c r="A30" s="75">
        <v>50499.0</v>
      </c>
      <c r="B30" s="8" t="str">
        <f>IF(A30&lt;&gt;"", IFERROR(VLOOKUP(A30, Ingreso!$B:$H, 2, FALSE), "No existe SKU"), "")</f>
        <v>Porta Toalla Nova Metalico Mariposa</v>
      </c>
      <c r="C30" s="73">
        <v>1.0</v>
      </c>
      <c r="D30" s="65">
        <f>C30*( VLOOKUP(A30,Ingreso!B:G,6,0))</f>
        <v>1490</v>
      </c>
      <c r="E30" s="8"/>
      <c r="F30" s="5">
        <f>IF(A30&lt;&gt;"", IFERROR(VLOOKUP(A30, Ingreso!$B:$D, 3, FALSE), 0), "")</f>
        <v>700</v>
      </c>
      <c r="G30" s="5">
        <f t="shared" si="1"/>
        <v>639.9</v>
      </c>
      <c r="H30" s="5">
        <f t="shared" si="2"/>
        <v>150.1</v>
      </c>
      <c r="I30" s="5">
        <f t="shared" si="3"/>
        <v>0</v>
      </c>
    </row>
    <row r="31" ht="14.25" customHeight="1">
      <c r="A31" s="75">
        <v>50948.0</v>
      </c>
      <c r="B31" s="8" t="str">
        <f>IF(A31&lt;&gt;"", IFERROR(VLOOKUP(A31, Ingreso!$B:$H, 2, FALSE), "No existe SKU"), "")</f>
        <v>Salvamantel Metalico 18*18*1,5cm</v>
      </c>
      <c r="C31" s="73">
        <v>1.0</v>
      </c>
      <c r="D31" s="65">
        <f>C31*( VLOOKUP(A31,Ingreso!B:G,6,0))</f>
        <v>2690</v>
      </c>
      <c r="E31" s="8"/>
      <c r="F31" s="5">
        <f>IF(A31&lt;&gt;"", IFERROR(VLOOKUP(A31, Ingreso!$B:$D, 3, FALSE), 0), "")</f>
        <v>1300</v>
      </c>
      <c r="G31" s="5">
        <f t="shared" si="1"/>
        <v>1125.9</v>
      </c>
      <c r="H31" s="5">
        <f t="shared" si="2"/>
        <v>264.1</v>
      </c>
      <c r="I31" s="5">
        <f t="shared" si="3"/>
        <v>0</v>
      </c>
    </row>
    <row r="32" ht="14.25" customHeight="1">
      <c r="A32" s="75">
        <v>21930.0</v>
      </c>
      <c r="B32" s="8" t="str">
        <f>IF(A32&lt;&gt;"", IFERROR(VLOOKUP(A32, Ingreso!$B:$H, 2, FALSE), "No existe SKU"), "")</f>
        <v>Panera Gris con blanco Tejida 6,5*28cm</v>
      </c>
      <c r="C32" s="73">
        <v>1.0</v>
      </c>
      <c r="D32" s="65">
        <f>C32*( VLOOKUP(A32,Ingreso!B:G,6,0))</f>
        <v>3690</v>
      </c>
      <c r="E32" s="8"/>
      <c r="F32" s="5">
        <f>IF(A32&lt;&gt;"", IFERROR(VLOOKUP(A32, Ingreso!$B:$D, 3, FALSE), 0), "")</f>
        <v>1800</v>
      </c>
      <c r="G32" s="5">
        <f t="shared" si="1"/>
        <v>1530.9</v>
      </c>
      <c r="H32" s="5">
        <f t="shared" si="2"/>
        <v>359.1</v>
      </c>
      <c r="I32" s="5">
        <f t="shared" si="3"/>
        <v>0</v>
      </c>
    </row>
    <row r="33" ht="14.25" customHeight="1">
      <c r="A33" s="76" t="s">
        <v>166</v>
      </c>
      <c r="B33" s="8" t="str">
        <f>IF(A33&lt;&gt;"", IFERROR(VLOOKUP(A33, Ingreso!$B:$H, 2, FALSE), "No existe SKU"), "")</f>
        <v>Humidificador electrico USB</v>
      </c>
      <c r="C33" s="73">
        <v>1.0</v>
      </c>
      <c r="D33" s="65">
        <f>C33*( VLOOKUP(A33,Ingreso!B:G,6,0))</f>
        <v>3890</v>
      </c>
      <c r="E33" s="74" t="s">
        <v>19</v>
      </c>
      <c r="F33" s="5">
        <f>IF(A33&lt;&gt;"", IFERROR(VLOOKUP(A33, Ingreso!$B:$D, 3, FALSE), 0), "")</f>
        <v>1900</v>
      </c>
      <c r="G33" s="5">
        <f t="shared" si="1"/>
        <v>1510.76</v>
      </c>
      <c r="H33" s="5">
        <f t="shared" si="2"/>
        <v>378.1</v>
      </c>
      <c r="I33" s="5">
        <f t="shared" si="3"/>
        <v>101.14</v>
      </c>
    </row>
    <row r="34" ht="14.25" customHeight="1">
      <c r="A34" s="75">
        <v>601873.0</v>
      </c>
      <c r="B34" s="8" t="str">
        <f>IF(A34&lt;&gt;"", IFERROR(VLOOKUP(A34, Ingreso!$B:$H, 2, FALSE), "No existe SKU"), "")</f>
        <v>Burlete Puerta 95cm</v>
      </c>
      <c r="C34" s="73">
        <v>1.0</v>
      </c>
      <c r="D34" s="65">
        <f>C34*( VLOOKUP(A34,Ingreso!B:G,6,0))</f>
        <v>2490</v>
      </c>
      <c r="E34" s="74" t="s">
        <v>19</v>
      </c>
      <c r="F34" s="5">
        <f>IF(A34&lt;&gt;"", IFERROR(VLOOKUP(A34, Ingreso!$B:$D, 3, FALSE), 0), "")</f>
        <v>1000</v>
      </c>
      <c r="G34" s="5">
        <f t="shared" si="1"/>
        <v>1142.16</v>
      </c>
      <c r="H34" s="5">
        <f t="shared" si="2"/>
        <v>283.1</v>
      </c>
      <c r="I34" s="5">
        <f t="shared" si="3"/>
        <v>64.74</v>
      </c>
    </row>
    <row r="35" ht="14.25" customHeight="1">
      <c r="A35" s="75">
        <v>1717.0</v>
      </c>
      <c r="B35" s="8" t="str">
        <f>IF(A35&lt;&gt;"", IFERROR(VLOOKUP(A35, Ingreso!$B:$H, 2, FALSE), "No existe SKU"), "")</f>
        <v>Guatero Infantil Mounstruito</v>
      </c>
      <c r="C35" s="73">
        <v>1.0</v>
      </c>
      <c r="D35" s="65">
        <f>C35*( VLOOKUP(A35,Ingreso!B:G,6,0))</f>
        <v>4590</v>
      </c>
      <c r="E35" s="74" t="s">
        <v>19</v>
      </c>
      <c r="F35" s="5">
        <f>IF(A35&lt;&gt;"", IFERROR(VLOOKUP(A35, Ingreso!$B:$D, 3, FALSE), 0), "")</f>
        <v>2000</v>
      </c>
      <c r="G35" s="5">
        <f t="shared" si="1"/>
        <v>1978.56</v>
      </c>
      <c r="H35" s="5">
        <f t="shared" si="2"/>
        <v>492.1</v>
      </c>
      <c r="I35" s="5">
        <f t="shared" si="3"/>
        <v>119.34</v>
      </c>
    </row>
    <row r="36" ht="14.25" customHeight="1">
      <c r="A36" s="75">
        <v>15154.0</v>
      </c>
      <c r="B36" s="8" t="str">
        <f>IF(A36&lt;&gt;"", IFERROR(VLOOKUP(A36, Ingreso!$B:$H, 2, FALSE), "No existe SKU"), "")</f>
        <v>tripack paños de cocina</v>
      </c>
      <c r="C36" s="73">
        <v>1.0</v>
      </c>
      <c r="D36" s="65">
        <f>C36*( VLOOKUP(A36,Ingreso!B:G,6,0))</f>
        <v>4690</v>
      </c>
      <c r="E36" s="74" t="s">
        <v>19</v>
      </c>
      <c r="F36" s="5">
        <f>IF(A36&lt;&gt;"", IFERROR(VLOOKUP(A36, Ingreso!$B:$D, 3, FALSE), 0), "")</f>
        <v>2300</v>
      </c>
      <c r="G36" s="5">
        <f t="shared" si="1"/>
        <v>1813.96</v>
      </c>
      <c r="H36" s="5">
        <f t="shared" si="2"/>
        <v>454.1</v>
      </c>
      <c r="I36" s="5">
        <f t="shared" si="3"/>
        <v>121.94</v>
      </c>
    </row>
    <row r="37" ht="14.25" customHeight="1">
      <c r="A37" s="75">
        <v>50499.0</v>
      </c>
      <c r="B37" s="8" t="str">
        <f>IF(A37&lt;&gt;"", IFERROR(VLOOKUP(A37, Ingreso!$B:$H, 2, FALSE), "No existe SKU"), "")</f>
        <v>Porta Toalla Nova Metalico Mariposa</v>
      </c>
      <c r="C37" s="73">
        <v>1.0</v>
      </c>
      <c r="D37" s="65">
        <f>C37*( VLOOKUP(A37,Ingreso!B:G,6,0))</f>
        <v>1490</v>
      </c>
      <c r="E37" s="74" t="s">
        <v>19</v>
      </c>
      <c r="F37" s="5">
        <f>IF(A37&lt;&gt;"", IFERROR(VLOOKUP(A37, Ingreso!$B:$D, 3, FALSE), 0), "")</f>
        <v>700</v>
      </c>
      <c r="G37" s="5">
        <f t="shared" si="1"/>
        <v>601.16</v>
      </c>
      <c r="H37" s="5">
        <f t="shared" si="2"/>
        <v>150.1</v>
      </c>
      <c r="I37" s="5">
        <f t="shared" si="3"/>
        <v>38.74</v>
      </c>
    </row>
    <row r="38" ht="14.25" customHeight="1">
      <c r="A38" s="75">
        <v>807597.0</v>
      </c>
      <c r="B38" s="8" t="str">
        <f>IF(A38&lt;&gt;"", IFERROR(VLOOKUP(A38, Ingreso!$B:$H, 2, FALSE), "No existe SKU"), "")</f>
        <v>Frasco para miel vidrio y bambu</v>
      </c>
      <c r="C38" s="73">
        <v>1.0</v>
      </c>
      <c r="D38" s="65">
        <f>C38*( VLOOKUP(A38,Ingreso!B:G,6,0))</f>
        <v>5290</v>
      </c>
      <c r="E38" s="8"/>
      <c r="F38" s="5">
        <f>IF(A38&lt;&gt;"", IFERROR(VLOOKUP(A38, Ingreso!$B:$D, 3, FALSE), 0), "")</f>
        <v>2600</v>
      </c>
      <c r="G38" s="5">
        <f t="shared" si="1"/>
        <v>2178.9</v>
      </c>
      <c r="H38" s="5">
        <f t="shared" si="2"/>
        <v>511.1</v>
      </c>
      <c r="I38" s="5">
        <f t="shared" si="3"/>
        <v>0</v>
      </c>
    </row>
    <row r="39" ht="14.25" customHeight="1">
      <c r="A39" s="71">
        <v>19571.0</v>
      </c>
      <c r="B39" s="8" t="str">
        <f>IF(A39&lt;&gt;"", IFERROR(VLOOKUP(A39, Ingreso!$B:$H, 2, FALSE), "No existe SKU"), "")</f>
        <v>Cesta Ropa Cuadrada café con tapa 42*30*56cm</v>
      </c>
      <c r="C39" s="73">
        <v>1.0</v>
      </c>
      <c r="D39" s="65">
        <f>C39*( VLOOKUP(A39,Ingreso!B:G,6,0))</f>
        <v>15290</v>
      </c>
      <c r="E39" s="8"/>
      <c r="F39" s="5">
        <f>IF(A39&lt;&gt;"", IFERROR(VLOOKUP(A39, Ingreso!$B:$D, 3, FALSE), 0), "")</f>
        <v>7600</v>
      </c>
      <c r="G39" s="5">
        <f t="shared" si="1"/>
        <v>6228.9</v>
      </c>
      <c r="H39" s="5">
        <f t="shared" si="2"/>
        <v>1461.1</v>
      </c>
      <c r="I39" s="5">
        <f t="shared" si="3"/>
        <v>0</v>
      </c>
    </row>
    <row r="40" ht="14.25" customHeight="1">
      <c r="A40" s="75">
        <v>51248.0</v>
      </c>
      <c r="B40" s="8" t="str">
        <f>IF(A40&lt;&gt;"", IFERROR(VLOOKUP(A40, Ingreso!$B:$H, 2, FALSE), "No existe SKU"), "")</f>
        <v>Cesta con cierre algodon 41*32*53cm</v>
      </c>
      <c r="C40" s="73">
        <v>1.0</v>
      </c>
      <c r="D40" s="65">
        <f>C40*( VLOOKUP(A40,Ingreso!B:G,6,0))</f>
        <v>6390</v>
      </c>
      <c r="E40" s="74" t="s">
        <v>21</v>
      </c>
      <c r="F40" s="5">
        <f>IF(A40&lt;&gt;"", IFERROR(VLOOKUP(A40, Ingreso!$B:$D, 3, FALSE), 0), "")</f>
        <v>3150</v>
      </c>
      <c r="G40" s="5">
        <f t="shared" si="1"/>
        <v>2624.4</v>
      </c>
      <c r="H40" s="5">
        <f t="shared" si="2"/>
        <v>615.6</v>
      </c>
      <c r="I40" s="5">
        <f t="shared" si="3"/>
        <v>0</v>
      </c>
    </row>
    <row r="41" ht="14.25" customHeight="1">
      <c r="A41" s="75">
        <v>24217.0</v>
      </c>
      <c r="B41" s="8" t="str">
        <f>IF(A41&lt;&gt;"", IFERROR(VLOOKUP(A41, Ingreso!$B:$H, 2, FALSE), "No existe SKU"), "")</f>
        <v>Cesta Ropa Dinosaurio 40*50cm</v>
      </c>
      <c r="C41" s="73">
        <v>1.0</v>
      </c>
      <c r="D41" s="65">
        <f>C41*( VLOOKUP(A41,Ingreso!B:G,6,0))</f>
        <v>5490</v>
      </c>
      <c r="E41" s="74" t="s">
        <v>21</v>
      </c>
      <c r="F41" s="5">
        <f>IF(A41&lt;&gt;"", IFERROR(VLOOKUP(A41, Ingreso!$B:$D, 3, FALSE), 0), "")</f>
        <v>2550</v>
      </c>
      <c r="G41" s="5">
        <f t="shared" si="1"/>
        <v>2381.4</v>
      </c>
      <c r="H41" s="5">
        <f t="shared" si="2"/>
        <v>558.6</v>
      </c>
      <c r="I41" s="5">
        <f t="shared" si="3"/>
        <v>0</v>
      </c>
    </row>
    <row r="42" ht="14.25" customHeight="1">
      <c r="A42" s="75">
        <v>50948.0</v>
      </c>
      <c r="B42" s="8" t="str">
        <f>IF(A42&lt;&gt;"", IFERROR(VLOOKUP(A42, Ingreso!$B:$H, 2, FALSE), "No existe SKU"), "")</f>
        <v>Salvamantel Metalico 18*18*1,5cm</v>
      </c>
      <c r="C42" s="73">
        <v>1.0</v>
      </c>
      <c r="D42" s="65">
        <f>C42*( VLOOKUP(A42,Ingreso!B:G,6,0))</f>
        <v>2690</v>
      </c>
      <c r="E42" s="74" t="s">
        <v>21</v>
      </c>
      <c r="F42" s="5">
        <f>IF(A42&lt;&gt;"", IFERROR(VLOOKUP(A42, Ingreso!$B:$D, 3, FALSE), 0), "")</f>
        <v>1300</v>
      </c>
      <c r="G42" s="5">
        <f t="shared" si="1"/>
        <v>1125.9</v>
      </c>
      <c r="H42" s="5">
        <f t="shared" si="2"/>
        <v>264.1</v>
      </c>
      <c r="I42" s="5">
        <f t="shared" si="3"/>
        <v>0</v>
      </c>
    </row>
    <row r="43" ht="14.25" customHeight="1">
      <c r="A43" s="75">
        <v>808708.0</v>
      </c>
      <c r="B43" s="8" t="str">
        <f>IF(A43&lt;&gt;"", IFERROR(VLOOKUP(A43, Ingreso!$B:$H, 2, FALSE), "No existe SKU"), "")</f>
        <v>Taza Margarita vidrio</v>
      </c>
      <c r="C43" s="73">
        <v>1.0</v>
      </c>
      <c r="D43" s="65">
        <f>C43*( VLOOKUP(A43,Ingreso!B:G,6,0))</f>
        <v>3990</v>
      </c>
      <c r="E43" s="74" t="s">
        <v>21</v>
      </c>
      <c r="F43" s="5">
        <f>IF(A43&lt;&gt;"", IFERROR(VLOOKUP(A43, Ingreso!$B:$D, 3, FALSE), 0), "")</f>
        <v>2000</v>
      </c>
      <c r="G43" s="5">
        <f t="shared" si="1"/>
        <v>1611.9</v>
      </c>
      <c r="H43" s="5">
        <f t="shared" si="2"/>
        <v>378.1</v>
      </c>
      <c r="I43" s="5">
        <f t="shared" si="3"/>
        <v>0</v>
      </c>
    </row>
    <row r="44" ht="14.25" customHeight="1">
      <c r="A44" s="75">
        <v>2020.0</v>
      </c>
      <c r="B44" s="8" t="str">
        <f>IF(A44&lt;&gt;"", IFERROR(VLOOKUP(A44, Ingreso!$B:$H, 2, FALSE), "No existe SKU"), "")</f>
        <v>Lechero 1200ml</v>
      </c>
      <c r="C44" s="73">
        <v>1.0</v>
      </c>
      <c r="D44" s="65">
        <f>C44*( VLOOKUP(A44,Ingreso!B:G,6,0))</f>
        <v>3990</v>
      </c>
      <c r="E44" s="8"/>
      <c r="F44" s="5">
        <f>IF(A44&lt;&gt;"", IFERROR(VLOOKUP(A44, Ingreso!$B:$D, 3, FALSE), 0), "")</f>
        <v>2000</v>
      </c>
      <c r="G44" s="5">
        <f t="shared" si="1"/>
        <v>1611.9</v>
      </c>
      <c r="H44" s="5">
        <f t="shared" si="2"/>
        <v>378.1</v>
      </c>
      <c r="I44" s="5">
        <f t="shared" si="3"/>
        <v>0</v>
      </c>
    </row>
    <row r="45" ht="14.25" customHeight="1">
      <c r="A45" s="75">
        <v>6060.0</v>
      </c>
      <c r="B45" s="8" t="str">
        <f>IF(A45&lt;&gt;"", IFERROR(VLOOKUP(A45, Ingreso!$B:$H, 2, FALSE), "No existe SKU"), "")</f>
        <v>Tostador Mango Madera</v>
      </c>
      <c r="C45" s="73">
        <v>1.0</v>
      </c>
      <c r="D45" s="65">
        <f>C45*( VLOOKUP(A45,Ingreso!B:G,6,0))</f>
        <v>2990</v>
      </c>
      <c r="E45" s="8"/>
      <c r="F45" s="5">
        <f>IF(A45&lt;&gt;"", IFERROR(VLOOKUP(A45, Ingreso!$B:$D, 3, FALSE), 0), "")</f>
        <v>1000</v>
      </c>
      <c r="G45" s="5">
        <f t="shared" si="1"/>
        <v>1611.9</v>
      </c>
      <c r="H45" s="5">
        <f t="shared" si="2"/>
        <v>378.1</v>
      </c>
      <c r="I45" s="5">
        <f t="shared" si="3"/>
        <v>0</v>
      </c>
    </row>
    <row r="46" ht="14.25" customHeight="1">
      <c r="A46" s="75">
        <v>808708.0</v>
      </c>
      <c r="B46" s="8" t="str">
        <f>IF(A46&lt;&gt;"", IFERROR(VLOOKUP(A46, Ingreso!$B:$H, 2, FALSE), "No existe SKU"), "")</f>
        <v>Taza Margarita vidrio</v>
      </c>
      <c r="C46" s="73">
        <v>1.0</v>
      </c>
      <c r="D46" s="65">
        <f>C46*( VLOOKUP(A46,Ingreso!B:G,6,0))</f>
        <v>3990</v>
      </c>
      <c r="E46" s="8"/>
      <c r="F46" s="5">
        <f>IF(A46&lt;&gt;"", IFERROR(VLOOKUP(A46, Ingreso!$B:$D, 3, FALSE), 0), "")</f>
        <v>2000</v>
      </c>
      <c r="G46" s="5">
        <f t="shared" si="1"/>
        <v>1611.9</v>
      </c>
      <c r="H46" s="5">
        <f t="shared" si="2"/>
        <v>378.1</v>
      </c>
      <c r="I46" s="5">
        <f t="shared" si="3"/>
        <v>0</v>
      </c>
    </row>
    <row r="47" ht="14.25" customHeight="1">
      <c r="A47" s="75">
        <v>809939.0</v>
      </c>
      <c r="B47" s="8" t="str">
        <f>IF(A47&lt;&gt;"", IFERROR(VLOOKUP(A47, Ingreso!$B:$H, 2, FALSE), "No existe SKU"), "")</f>
        <v>Set de especies 8und bambu</v>
      </c>
      <c r="C47" s="73">
        <v>1.0</v>
      </c>
      <c r="D47" s="65">
        <f>C47*( VLOOKUP(A47,Ingreso!B:G,6,0))</f>
        <v>17990</v>
      </c>
      <c r="E47" s="8"/>
      <c r="F47" s="5">
        <f>IF(A47&lt;&gt;"", IFERROR(VLOOKUP(A47, Ingreso!$B:$D, 3, FALSE), 0), "")</f>
        <v>9000</v>
      </c>
      <c r="G47" s="5">
        <f t="shared" si="1"/>
        <v>7281.9</v>
      </c>
      <c r="H47" s="5">
        <f t="shared" si="2"/>
        <v>1708.1</v>
      </c>
      <c r="I47" s="5">
        <f t="shared" si="3"/>
        <v>0</v>
      </c>
    </row>
    <row r="48" ht="14.25" customHeight="1">
      <c r="A48" s="75">
        <v>21455.0</v>
      </c>
      <c r="B48" s="8" t="str">
        <f>IF(A48&lt;&gt;"", IFERROR(VLOOKUP(A48, Ingreso!$B:$H, 2, FALSE), "No existe SKU"), "")</f>
        <v>Zapatero Negro Plastico Varillas Metalicas 4 pisos 41*18,5*50cm</v>
      </c>
      <c r="C48" s="73">
        <v>1.0</v>
      </c>
      <c r="D48" s="65">
        <f>C48*( VLOOKUP(A48,Ingreso!B:G,6,0))</f>
        <v>4990</v>
      </c>
      <c r="E48" s="74" t="s">
        <v>19</v>
      </c>
      <c r="F48" s="5">
        <f>IF(A48&lt;&gt;"", IFERROR(VLOOKUP(A48, Ingreso!$B:$D, 3, FALSE), 0), "")</f>
        <v>1800</v>
      </c>
      <c r="G48" s="5">
        <f t="shared" si="1"/>
        <v>2454.16</v>
      </c>
      <c r="H48" s="5">
        <f t="shared" si="2"/>
        <v>606.1</v>
      </c>
      <c r="I48" s="5">
        <f t="shared" si="3"/>
        <v>129.74</v>
      </c>
    </row>
    <row r="49" ht="14.25" customHeight="1">
      <c r="A49" s="75">
        <v>15855.0</v>
      </c>
      <c r="B49" s="8" t="str">
        <f>IF(A49&lt;&gt;"", IFERROR(VLOOKUP(A49, Ingreso!$B:$H, 2, FALSE), "No existe SKU"), "")</f>
        <v>Frutero Metalico 27*10cm</v>
      </c>
      <c r="C49" s="73">
        <v>1.0</v>
      </c>
      <c r="D49" s="65">
        <f>C49*( VLOOKUP(A49,Ingreso!B:G,6,0))</f>
        <v>3990</v>
      </c>
      <c r="E49" s="74" t="s">
        <v>19</v>
      </c>
      <c r="F49" s="5">
        <f>IF(A49&lt;&gt;"", IFERROR(VLOOKUP(A49, Ingreso!$B:$D, 3, FALSE), 0), "")</f>
        <v>2000</v>
      </c>
      <c r="G49" s="5">
        <f t="shared" si="1"/>
        <v>1508.16</v>
      </c>
      <c r="H49" s="5">
        <f t="shared" si="2"/>
        <v>378.1</v>
      </c>
      <c r="I49" s="5">
        <f t="shared" si="3"/>
        <v>103.74</v>
      </c>
    </row>
    <row r="50" ht="14.25" customHeight="1">
      <c r="A50" s="75">
        <v>15154.0</v>
      </c>
      <c r="B50" s="8" t="str">
        <f>IF(A50&lt;&gt;"", IFERROR(VLOOKUP(A50, Ingreso!$B:$H, 2, FALSE), "No existe SKU"), "")</f>
        <v>tripack paños de cocina</v>
      </c>
      <c r="C50" s="73">
        <v>1.0</v>
      </c>
      <c r="D50" s="65">
        <f>C50*( VLOOKUP(A50,Ingreso!B:G,6,0))</f>
        <v>4690</v>
      </c>
      <c r="E50" s="74" t="s">
        <v>19</v>
      </c>
      <c r="F50" s="5">
        <f>IF(A50&lt;&gt;"", IFERROR(VLOOKUP(A50, Ingreso!$B:$D, 3, FALSE), 0), "")</f>
        <v>2300</v>
      </c>
      <c r="G50" s="5">
        <f t="shared" si="1"/>
        <v>1813.96</v>
      </c>
      <c r="H50" s="5">
        <f t="shared" si="2"/>
        <v>454.1</v>
      </c>
      <c r="I50" s="5">
        <f t="shared" si="3"/>
        <v>121.94</v>
      </c>
    </row>
    <row r="51" ht="14.25" customHeight="1">
      <c r="A51" s="71">
        <v>25936.0</v>
      </c>
      <c r="B51" s="8" t="str">
        <f>IF(A51&lt;&gt;"", IFERROR(VLOOKUP(A51, Ingreso!$B:$H, 2, FALSE), "No existe SKU"), "")</f>
        <v>Dispensador Lavalozas 18*12cm</v>
      </c>
      <c r="C51" s="73">
        <v>1.0</v>
      </c>
      <c r="D51" s="65">
        <f>C51*( VLOOKUP(A51,Ingreso!B:G,6,0))</f>
        <v>7890</v>
      </c>
      <c r="E51" s="74" t="s">
        <v>19</v>
      </c>
      <c r="F51" s="5">
        <f>IF(A51&lt;&gt;"", IFERROR(VLOOKUP(A51, Ingreso!$B:$D, 3, FALSE), 0), "")</f>
        <v>3900</v>
      </c>
      <c r="G51" s="5">
        <f t="shared" si="1"/>
        <v>3026.76</v>
      </c>
      <c r="H51" s="5">
        <f t="shared" si="2"/>
        <v>758.1</v>
      </c>
      <c r="I51" s="5">
        <f t="shared" si="3"/>
        <v>205.14</v>
      </c>
    </row>
    <row r="52" ht="14.25" customHeight="1">
      <c r="A52" s="75">
        <v>601873.0</v>
      </c>
      <c r="B52" s="8" t="str">
        <f>IF(A52&lt;&gt;"", IFERROR(VLOOKUP(A52, Ingreso!$B:$H, 2, FALSE), "No existe SKU"), "")</f>
        <v>Burlete Puerta 95cm</v>
      </c>
      <c r="C52" s="73">
        <v>1.0</v>
      </c>
      <c r="D52" s="65">
        <f>C52*( VLOOKUP(A52,Ingreso!B:G,6,0))</f>
        <v>2490</v>
      </c>
      <c r="E52" s="74" t="s">
        <v>19</v>
      </c>
      <c r="F52" s="5">
        <f>IF(A52&lt;&gt;"", IFERROR(VLOOKUP(A52, Ingreso!$B:$D, 3, FALSE), 0), "")</f>
        <v>1000</v>
      </c>
      <c r="G52" s="5">
        <f t="shared" si="1"/>
        <v>1142.16</v>
      </c>
      <c r="H52" s="5">
        <f t="shared" si="2"/>
        <v>283.1</v>
      </c>
      <c r="I52" s="5">
        <f t="shared" si="3"/>
        <v>64.74</v>
      </c>
    </row>
    <row r="53" ht="14.25" customHeight="1">
      <c r="A53" s="75">
        <v>1717.0</v>
      </c>
      <c r="B53" s="8" t="str">
        <f>IF(A53&lt;&gt;"", IFERROR(VLOOKUP(A53, Ingreso!$B:$H, 2, FALSE), "No existe SKU"), "")</f>
        <v>Guatero Infantil Mounstruito</v>
      </c>
      <c r="C53" s="73">
        <v>1.0</v>
      </c>
      <c r="D53" s="65">
        <f>C53*( VLOOKUP(A53,Ingreso!B:G,6,0))</f>
        <v>4590</v>
      </c>
      <c r="E53" s="74" t="s">
        <v>19</v>
      </c>
      <c r="F53" s="5">
        <f>IF(A53&lt;&gt;"", IFERROR(VLOOKUP(A53, Ingreso!$B:$D, 3, FALSE), 0), "")</f>
        <v>2000</v>
      </c>
      <c r="G53" s="5">
        <f t="shared" si="1"/>
        <v>1978.56</v>
      </c>
      <c r="H53" s="5">
        <f t="shared" si="2"/>
        <v>492.1</v>
      </c>
      <c r="I53" s="5">
        <f t="shared" si="3"/>
        <v>119.34</v>
      </c>
    </row>
    <row r="54" ht="14.25" customHeight="1">
      <c r="A54" s="76" t="s">
        <v>179</v>
      </c>
      <c r="B54" s="8" t="str">
        <f>IF(A54&lt;&gt;"", IFERROR(VLOOKUP(A54, Ingreso!$B:$H, 2, FALSE), "No existe SKU"), "")</f>
        <v>Set Pinche mas esponjas</v>
      </c>
      <c r="C54" s="73">
        <v>1.0</v>
      </c>
      <c r="D54" s="65">
        <f>C54*( VLOOKUP(A54,Ingreso!B:G,6,0))</f>
        <v>2490</v>
      </c>
      <c r="E54" s="74" t="s">
        <v>19</v>
      </c>
      <c r="F54" s="5">
        <f>IF(A54&lt;&gt;"", IFERROR(VLOOKUP(A54, Ingreso!$B:$D, 3, FALSE), 0), "")</f>
        <v>1200</v>
      </c>
      <c r="G54" s="5">
        <f t="shared" si="1"/>
        <v>980.16</v>
      </c>
      <c r="H54" s="5">
        <f t="shared" si="2"/>
        <v>245.1</v>
      </c>
      <c r="I54" s="5">
        <f t="shared" si="3"/>
        <v>64.74</v>
      </c>
    </row>
    <row r="55" ht="14.25" customHeight="1">
      <c r="A55" s="75">
        <v>21930.0</v>
      </c>
      <c r="B55" s="8" t="str">
        <f>IF(A55&lt;&gt;"", IFERROR(VLOOKUP(A55, Ingreso!$B:$H, 2, FALSE), "No existe SKU"), "")</f>
        <v>Panera Gris con blanco Tejida 6,5*28cm</v>
      </c>
      <c r="C55" s="73">
        <v>1.0</v>
      </c>
      <c r="D55" s="65">
        <f>C55*( VLOOKUP(A55,Ingreso!B:G,6,0))</f>
        <v>3690</v>
      </c>
      <c r="E55" s="74" t="s">
        <v>19</v>
      </c>
      <c r="F55" s="5">
        <f>IF(A55&lt;&gt;"", IFERROR(VLOOKUP(A55, Ingreso!$B:$D, 3, FALSE), 0), "")</f>
        <v>1800</v>
      </c>
      <c r="G55" s="5">
        <f t="shared" si="1"/>
        <v>1434.96</v>
      </c>
      <c r="H55" s="5">
        <f t="shared" si="2"/>
        <v>359.1</v>
      </c>
      <c r="I55" s="5">
        <f t="shared" si="3"/>
        <v>95.94</v>
      </c>
    </row>
    <row r="56" ht="14.25" customHeight="1">
      <c r="A56" s="75">
        <v>1717.0</v>
      </c>
      <c r="B56" s="8" t="str">
        <f>IF(A56&lt;&gt;"", IFERROR(VLOOKUP(A56, Ingreso!$B:$H, 2, FALSE), "No existe SKU"), "")</f>
        <v>Guatero Infantil Mounstruito</v>
      </c>
      <c r="C56" s="73">
        <v>1.0</v>
      </c>
      <c r="D56" s="65">
        <f>C56*( VLOOKUP(A56,Ingreso!B:G,6,0))</f>
        <v>4590</v>
      </c>
      <c r="E56" s="74" t="s">
        <v>19</v>
      </c>
      <c r="F56" s="5">
        <f>IF(A56&lt;&gt;"", IFERROR(VLOOKUP(A56, Ingreso!$B:$D, 3, FALSE), 0), "")</f>
        <v>2000</v>
      </c>
      <c r="G56" s="5">
        <f t="shared" si="1"/>
        <v>1978.56</v>
      </c>
      <c r="H56" s="5">
        <f t="shared" si="2"/>
        <v>492.1</v>
      </c>
      <c r="I56" s="5">
        <f t="shared" si="3"/>
        <v>119.34</v>
      </c>
    </row>
    <row r="57" ht="14.25" customHeight="1">
      <c r="A57" s="75">
        <v>15154.0</v>
      </c>
      <c r="B57" s="8" t="str">
        <f>IF(A57&lt;&gt;"", IFERROR(VLOOKUP(A57, Ingreso!$B:$H, 2, FALSE), "No existe SKU"), "")</f>
        <v>tripack paños de cocina</v>
      </c>
      <c r="C57" s="73">
        <v>1.0</v>
      </c>
      <c r="D57" s="65">
        <f>C57*( VLOOKUP(A57,Ingreso!B:G,6,0))</f>
        <v>4690</v>
      </c>
      <c r="E57" s="74" t="s">
        <v>19</v>
      </c>
      <c r="F57" s="5">
        <f>IF(A57&lt;&gt;"", IFERROR(VLOOKUP(A57, Ingreso!$B:$D, 3, FALSE), 0), "")</f>
        <v>2300</v>
      </c>
      <c r="G57" s="5">
        <f t="shared" si="1"/>
        <v>1813.96</v>
      </c>
      <c r="H57" s="5">
        <f t="shared" si="2"/>
        <v>454.1</v>
      </c>
      <c r="I57" s="5">
        <f t="shared" si="3"/>
        <v>121.94</v>
      </c>
    </row>
    <row r="58" ht="14.25" customHeight="1">
      <c r="A58" s="75">
        <v>2020.0</v>
      </c>
      <c r="B58" s="8" t="str">
        <f>IF(A58&lt;&gt;"", IFERROR(VLOOKUP(A58, Ingreso!$B:$H, 2, FALSE), "No existe SKU"), "")</f>
        <v>Lechero 1200ml</v>
      </c>
      <c r="C58" s="73">
        <v>1.0</v>
      </c>
      <c r="D58" s="65">
        <f>C58*( VLOOKUP(A58,Ingreso!B:G,6,0))</f>
        <v>3990</v>
      </c>
      <c r="E58" s="74" t="s">
        <v>19</v>
      </c>
      <c r="F58" s="5">
        <f>IF(A58&lt;&gt;"", IFERROR(VLOOKUP(A58, Ingreso!$B:$D, 3, FALSE), 0), "")</f>
        <v>2000</v>
      </c>
      <c r="G58" s="5">
        <f t="shared" si="1"/>
        <v>1508.16</v>
      </c>
      <c r="H58" s="5">
        <f t="shared" si="2"/>
        <v>378.1</v>
      </c>
      <c r="I58" s="5">
        <f t="shared" si="3"/>
        <v>103.74</v>
      </c>
    </row>
    <row r="59" ht="14.25" customHeight="1">
      <c r="A59" s="62" t="s">
        <v>166</v>
      </c>
      <c r="B59" s="8" t="str">
        <f>IF(A59&lt;&gt;"", IFERROR(VLOOKUP(A59, Ingreso!$B:$H, 2, FALSE), "No existe SKU"), "")</f>
        <v>Humidificador electrico USB</v>
      </c>
      <c r="C59" s="73">
        <v>1.0</v>
      </c>
      <c r="D59" s="65">
        <f>C59*( VLOOKUP(A59,Ingreso!B:G,6,0))</f>
        <v>3890</v>
      </c>
      <c r="E59" s="74" t="s">
        <v>19</v>
      </c>
      <c r="F59" s="5">
        <f>IF(A59&lt;&gt;"", IFERROR(VLOOKUP(A59, Ingreso!$B:$D, 3, FALSE), 0), "")</f>
        <v>1900</v>
      </c>
      <c r="G59" s="5">
        <f t="shared" si="1"/>
        <v>1510.76</v>
      </c>
      <c r="H59" s="5">
        <f t="shared" si="2"/>
        <v>378.1</v>
      </c>
      <c r="I59" s="5">
        <f t="shared" si="3"/>
        <v>101.14</v>
      </c>
    </row>
    <row r="60" ht="14.25" customHeight="1">
      <c r="A60" s="72">
        <v>1010.0</v>
      </c>
      <c r="B60" s="8" t="str">
        <f>IF(A60&lt;&gt;"", IFERROR(VLOOKUP(A60, Ingreso!$B:$H, 2, FALSE), "No existe SKU"), "")</f>
        <v>Centrifuga para ensaladas</v>
      </c>
      <c r="C60" s="73">
        <v>1.0</v>
      </c>
      <c r="D60" s="65">
        <f>C60*( VLOOKUP(A60,Ingreso!B:G,6,0))</f>
        <v>9690</v>
      </c>
      <c r="E60" s="74" t="s">
        <v>19</v>
      </c>
      <c r="F60" s="5">
        <f>IF(A60&lt;&gt;"", IFERROR(VLOOKUP(A60, Ingreso!$B:$D, 3, FALSE), 0), "")</f>
        <v>4800</v>
      </c>
      <c r="G60" s="5">
        <f t="shared" si="1"/>
        <v>3708.96</v>
      </c>
      <c r="H60" s="5">
        <f t="shared" si="2"/>
        <v>929.1</v>
      </c>
      <c r="I60" s="5">
        <f t="shared" si="3"/>
        <v>251.94</v>
      </c>
    </row>
    <row r="61" ht="14.25" customHeight="1">
      <c r="A61" s="77">
        <v>3131.0</v>
      </c>
      <c r="B61" s="8" t="str">
        <f>IF(A61&lt;&gt;"", IFERROR(VLOOKUP(A61, Ingreso!$B:$H, 2, FALSE), "No existe SKU"), "")</f>
        <v>Exprimidor Limon Vidrio</v>
      </c>
      <c r="C61" s="73">
        <v>1.0</v>
      </c>
      <c r="D61" s="65">
        <f>C61*( VLOOKUP(A61,Ingreso!B:G,6,0))</f>
        <v>1990</v>
      </c>
      <c r="E61" s="74" t="s">
        <v>19</v>
      </c>
      <c r="F61" s="5">
        <f>IF(A61&lt;&gt;"", IFERROR(VLOOKUP(A61, Ingreso!$B:$D, 3, FALSE), 0), "")</f>
        <v>950</v>
      </c>
      <c r="G61" s="5">
        <f t="shared" si="1"/>
        <v>790.66</v>
      </c>
      <c r="H61" s="5">
        <f t="shared" si="2"/>
        <v>197.6</v>
      </c>
      <c r="I61" s="5">
        <f t="shared" si="3"/>
        <v>51.74</v>
      </c>
    </row>
    <row r="62" ht="14.25" customHeight="1">
      <c r="A62" s="75">
        <v>1515.0</v>
      </c>
      <c r="B62" s="8" t="str">
        <f>IF(A62&lt;&gt;"", IFERROR(VLOOKUP(A62, Ingreso!$B:$H, 2, FALSE), "No existe SKU"), "")</f>
        <v>Salero y Pimentero Pareja</v>
      </c>
      <c r="C62" s="73">
        <v>1.0</v>
      </c>
      <c r="D62" s="65">
        <f>C62*( VLOOKUP(A62,Ingreso!B:G,6,0))</f>
        <v>4990</v>
      </c>
      <c r="E62" s="74" t="s">
        <v>19</v>
      </c>
      <c r="F62" s="5">
        <f>IF(A62&lt;&gt;"", IFERROR(VLOOKUP(A62, Ingreso!$B:$D, 3, FALSE), 0), "")</f>
        <v>2500</v>
      </c>
      <c r="G62" s="5">
        <f t="shared" si="1"/>
        <v>1887.16</v>
      </c>
      <c r="H62" s="5">
        <f t="shared" si="2"/>
        <v>473.1</v>
      </c>
      <c r="I62" s="5">
        <f t="shared" si="3"/>
        <v>129.74</v>
      </c>
    </row>
    <row r="63" ht="14.25" customHeight="1">
      <c r="A63" s="75">
        <v>22489.0</v>
      </c>
      <c r="B63" s="8" t="str">
        <f>IF(A63&lt;&gt;"", IFERROR(VLOOKUP(A63, Ingreso!$B:$H, 2, FALSE), "No existe SKU"), "")</f>
        <v>Caja organizadora Te 4 compartimiento15*15*7cm</v>
      </c>
      <c r="C63" s="73">
        <v>1.0</v>
      </c>
      <c r="D63" s="65">
        <f>C63*( VLOOKUP(A63,Ingreso!B:G,6,0))</f>
        <v>6290</v>
      </c>
      <c r="E63" s="74" t="s">
        <v>19</v>
      </c>
      <c r="F63" s="5">
        <f>IF(A63&lt;&gt;"", IFERROR(VLOOKUP(A63, Ingreso!$B:$D, 3, FALSE), 0), "")</f>
        <v>3100</v>
      </c>
      <c r="G63" s="5">
        <f t="shared" si="1"/>
        <v>2420.36</v>
      </c>
      <c r="H63" s="5">
        <f t="shared" si="2"/>
        <v>606.1</v>
      </c>
      <c r="I63" s="5">
        <f t="shared" si="3"/>
        <v>163.54</v>
      </c>
    </row>
    <row r="64" ht="14.25" customHeight="1">
      <c r="A64" s="75">
        <v>50948.0</v>
      </c>
      <c r="B64" s="8" t="str">
        <f>IF(A64&lt;&gt;"", IFERROR(VLOOKUP(A64, Ingreso!$B:$H, 2, FALSE), "No existe SKU"), "")</f>
        <v>Salvamantel Metalico 18*18*1,5cm</v>
      </c>
      <c r="C64" s="73">
        <v>1.0</v>
      </c>
      <c r="D64" s="65">
        <f>C64*( VLOOKUP(A64,Ingreso!B:G,6,0))</f>
        <v>2690</v>
      </c>
      <c r="E64" s="74" t="s">
        <v>19</v>
      </c>
      <c r="F64" s="5">
        <f>IF(A64&lt;&gt;"", IFERROR(VLOOKUP(A64, Ingreso!$B:$D, 3, FALSE), 0), "")</f>
        <v>1300</v>
      </c>
      <c r="G64" s="5">
        <f t="shared" si="1"/>
        <v>1055.96</v>
      </c>
      <c r="H64" s="5">
        <f t="shared" si="2"/>
        <v>264.1</v>
      </c>
      <c r="I64" s="5">
        <f t="shared" si="3"/>
        <v>69.94</v>
      </c>
    </row>
    <row r="65" ht="14.25" customHeight="1">
      <c r="A65" s="75">
        <v>16922.0</v>
      </c>
      <c r="B65" s="8" t="str">
        <f>IF(A65&lt;&gt;"", IFERROR(VLOOKUP(A65, Ingreso!$B:$H, 2, FALSE), "No existe SKU"), "")</f>
        <v>Cesta Ropa Diseño Estampado 35*45cm</v>
      </c>
      <c r="C65" s="73">
        <v>1.0</v>
      </c>
      <c r="D65" s="65">
        <f>C65*( VLOOKUP(A65,Ingreso!B:G,6,0))</f>
        <v>5990</v>
      </c>
      <c r="E65" s="74" t="s">
        <v>19</v>
      </c>
      <c r="F65" s="5">
        <f>IF(A65&lt;&gt;"", IFERROR(VLOOKUP(A65, Ingreso!$B:$D, 3, FALSE), 0), "")</f>
        <v>2950</v>
      </c>
      <c r="G65" s="5">
        <f t="shared" si="1"/>
        <v>2306.66</v>
      </c>
      <c r="H65" s="5">
        <f t="shared" si="2"/>
        <v>577.6</v>
      </c>
      <c r="I65" s="5">
        <f t="shared" si="3"/>
        <v>155.74</v>
      </c>
    </row>
    <row r="66" ht="14.25" customHeight="1">
      <c r="A66" s="75">
        <v>807597.0</v>
      </c>
      <c r="B66" s="8" t="str">
        <f>IF(A66&lt;&gt;"", IFERROR(VLOOKUP(A66, Ingreso!$B:$H, 2, FALSE), "No existe SKU"), "")</f>
        <v>Frasco para miel vidrio y bambu</v>
      </c>
      <c r="C66" s="73">
        <v>1.0</v>
      </c>
      <c r="D66" s="65">
        <f>C66*( VLOOKUP(A66,Ingreso!B:G,6,0))</f>
        <v>5290</v>
      </c>
      <c r="E66" s="74" t="s">
        <v>19</v>
      </c>
      <c r="F66" s="5">
        <f>IF(A66&lt;&gt;"", IFERROR(VLOOKUP(A66, Ingreso!$B:$D, 3, FALSE), 0), "")</f>
        <v>2600</v>
      </c>
      <c r="G66" s="5">
        <f t="shared" si="1"/>
        <v>2041.36</v>
      </c>
      <c r="H66" s="5">
        <f t="shared" si="2"/>
        <v>511.1</v>
      </c>
      <c r="I66" s="5">
        <f t="shared" si="3"/>
        <v>137.54</v>
      </c>
    </row>
    <row r="67" ht="14.25" customHeight="1">
      <c r="A67" s="75">
        <v>808708.0</v>
      </c>
      <c r="B67" s="8" t="str">
        <f>IF(A67&lt;&gt;"", IFERROR(VLOOKUP(A67, Ingreso!$B:$H, 2, FALSE), "No existe SKU"), "")</f>
        <v>Taza Margarita vidrio</v>
      </c>
      <c r="C67" s="73">
        <v>1.0</v>
      </c>
      <c r="D67" s="65">
        <f>C67*( VLOOKUP(A67,Ingreso!B:G,6,0))</f>
        <v>3990</v>
      </c>
      <c r="E67" s="8"/>
      <c r="F67" s="5">
        <f>IF(A67&lt;&gt;"", IFERROR(VLOOKUP(A67, Ingreso!$B:$D, 3, FALSE), 0), "")</f>
        <v>2000</v>
      </c>
      <c r="G67" s="5">
        <f t="shared" si="1"/>
        <v>1611.9</v>
      </c>
      <c r="H67" s="5">
        <f t="shared" si="2"/>
        <v>378.1</v>
      </c>
      <c r="I67" s="5">
        <f t="shared" si="3"/>
        <v>0</v>
      </c>
    </row>
    <row r="68" ht="14.25" customHeight="1">
      <c r="A68" s="75">
        <v>1515.0</v>
      </c>
      <c r="B68" s="8" t="str">
        <f>IF(A68&lt;&gt;"", IFERROR(VLOOKUP(A68, Ingreso!$B:$H, 2, FALSE), "No existe SKU"), "")</f>
        <v>Salero y Pimentero Pareja</v>
      </c>
      <c r="C68" s="73">
        <v>1.0</v>
      </c>
      <c r="D68" s="65">
        <f>C68*( VLOOKUP(A68,Ingreso!B:G,6,0))</f>
        <v>4990</v>
      </c>
      <c r="E68" s="8"/>
      <c r="F68" s="5">
        <f>IF(A68&lt;&gt;"", IFERROR(VLOOKUP(A68, Ingreso!$B:$D, 3, FALSE), 0), "")</f>
        <v>2500</v>
      </c>
      <c r="G68" s="5">
        <f t="shared" si="1"/>
        <v>2016.9</v>
      </c>
      <c r="H68" s="5">
        <f t="shared" si="2"/>
        <v>473.1</v>
      </c>
      <c r="I68" s="5">
        <f t="shared" si="3"/>
        <v>0</v>
      </c>
    </row>
    <row r="69" ht="14.25" customHeight="1">
      <c r="A69" s="77" t="s">
        <v>166</v>
      </c>
      <c r="B69" s="8" t="str">
        <f>IF(A69&lt;&gt;"", IFERROR(VLOOKUP(A69, Ingreso!$B:$H, 2, FALSE), "No existe SKU"), "")</f>
        <v>Humidificador electrico USB</v>
      </c>
      <c r="C69" s="73">
        <v>2.0</v>
      </c>
      <c r="D69" s="65">
        <f>C69*( VLOOKUP(A69,Ingreso!B:G,6,0))</f>
        <v>7780</v>
      </c>
      <c r="E69" s="8"/>
      <c r="F69" s="5">
        <f>IF(A69&lt;&gt;"", IFERROR(VLOOKUP(A69, Ingreso!$B:$D, 3, FALSE), 0), "")</f>
        <v>1900</v>
      </c>
      <c r="G69" s="5">
        <f t="shared" si="1"/>
        <v>3223.8</v>
      </c>
      <c r="H69" s="5">
        <f t="shared" si="2"/>
        <v>756.2</v>
      </c>
      <c r="I69" s="5">
        <f t="shared" si="3"/>
        <v>0</v>
      </c>
    </row>
    <row r="70" ht="14.25" customHeight="1">
      <c r="A70" s="75">
        <v>808708.0</v>
      </c>
      <c r="B70" s="8" t="str">
        <f>IF(A70&lt;&gt;"", IFERROR(VLOOKUP(A70, Ingreso!$B:$H, 2, FALSE), "No existe SKU"), "")</f>
        <v>Taza Margarita vidrio</v>
      </c>
      <c r="C70" s="73">
        <v>2.0</v>
      </c>
      <c r="D70" s="65">
        <f>C70*( VLOOKUP(A70,Ingreso!B:G,6,0))</f>
        <v>7980</v>
      </c>
      <c r="E70" s="8"/>
      <c r="F70" s="5">
        <f>IF(A70&lt;&gt;"", IFERROR(VLOOKUP(A70, Ingreso!$B:$D, 3, FALSE), 0), "")</f>
        <v>2000</v>
      </c>
      <c r="G70" s="5">
        <f t="shared" si="1"/>
        <v>3223.8</v>
      </c>
      <c r="H70" s="5">
        <f t="shared" si="2"/>
        <v>756.2</v>
      </c>
      <c r="I70" s="5">
        <f t="shared" si="3"/>
        <v>0</v>
      </c>
    </row>
    <row r="71" ht="14.25" customHeight="1">
      <c r="A71" s="75">
        <v>808698.0</v>
      </c>
      <c r="B71" s="8" t="str">
        <f>IF(A71&lt;&gt;"", IFERROR(VLOOKUP(A71, Ingreso!$B:$H, 2, FALSE), "No existe SKU"), "")</f>
        <v>Taza Flores Doble fondo</v>
      </c>
      <c r="C71" s="73">
        <v>2.0</v>
      </c>
      <c r="D71" s="65">
        <f>C71*( VLOOKUP(A71,Ingreso!B:G,6,0))</f>
        <v>9980</v>
      </c>
      <c r="E71" s="8"/>
      <c r="F71" s="5">
        <f>IF(A71&lt;&gt;"", IFERROR(VLOOKUP(A71, Ingreso!$B:$D, 3, FALSE), 0), "")</f>
        <v>2500</v>
      </c>
      <c r="G71" s="5">
        <f t="shared" si="1"/>
        <v>4033.8</v>
      </c>
      <c r="H71" s="5">
        <f t="shared" si="2"/>
        <v>946.2</v>
      </c>
      <c r="I71" s="5">
        <f t="shared" si="3"/>
        <v>0</v>
      </c>
    </row>
    <row r="72" ht="14.25" customHeight="1">
      <c r="A72" s="75">
        <v>50948.0</v>
      </c>
      <c r="B72" s="8" t="str">
        <f>IF(A72&lt;&gt;"", IFERROR(VLOOKUP(A72, Ingreso!$B:$H, 2, FALSE), "No existe SKU"), "")</f>
        <v>Salvamantel Metalico 18*18*1,5cm</v>
      </c>
      <c r="C72" s="73">
        <v>1.0</v>
      </c>
      <c r="D72" s="65">
        <f>C72*( VLOOKUP(A72,Ingreso!B:G,6,0))</f>
        <v>2690</v>
      </c>
      <c r="E72" s="8"/>
      <c r="F72" s="5">
        <f>IF(A72&lt;&gt;"", IFERROR(VLOOKUP(A72, Ingreso!$B:$D, 3, FALSE), 0), "")</f>
        <v>1300</v>
      </c>
      <c r="G72" s="5">
        <f t="shared" si="1"/>
        <v>1125.9</v>
      </c>
      <c r="H72" s="5">
        <f t="shared" si="2"/>
        <v>264.1</v>
      </c>
      <c r="I72" s="5">
        <f t="shared" si="3"/>
        <v>0</v>
      </c>
    </row>
    <row r="73" ht="14.25" customHeight="1">
      <c r="A73" s="75">
        <v>15511.0</v>
      </c>
      <c r="B73" s="8" t="str">
        <f>IF(A73&lt;&gt;"", IFERROR(VLOOKUP(A73, Ingreso!$B:$H, 2, FALSE), "No existe SKU"), "")</f>
        <v>Individual Tejido Grisazulado 38cm</v>
      </c>
      <c r="C73" s="73">
        <v>8.0</v>
      </c>
      <c r="D73" s="65">
        <f>C73*( VLOOKUP(A73,Ingreso!B:G,6,0))</f>
        <v>13520</v>
      </c>
      <c r="E73" s="8"/>
      <c r="F73" s="5">
        <f>IF(A73&lt;&gt;"", IFERROR(VLOOKUP(A73, Ingreso!$B:$D, 3, FALSE), 0), "")</f>
        <v>800</v>
      </c>
      <c r="G73" s="5">
        <f t="shared" si="1"/>
        <v>5767.2</v>
      </c>
      <c r="H73" s="5">
        <f t="shared" si="2"/>
        <v>1352.8</v>
      </c>
      <c r="I73" s="5">
        <f t="shared" si="3"/>
        <v>0</v>
      </c>
    </row>
    <row r="74" ht="14.25" customHeight="1">
      <c r="A74" s="76" t="s">
        <v>76</v>
      </c>
      <c r="B74" s="8" t="str">
        <f>IF(A74&lt;&gt;"", IFERROR(VLOOKUP(A74, Ingreso!$B:$H, 2, FALSE), "No existe SKU"), "")</f>
        <v>Masajeador Corporal recargable</v>
      </c>
      <c r="C74" s="73">
        <v>1.0</v>
      </c>
      <c r="D74" s="65">
        <f>C74*( VLOOKUP(A74,Ingreso!B:G,6,0))</f>
        <v>2990</v>
      </c>
      <c r="E74" s="8"/>
      <c r="F74" s="5">
        <f>IF(A74&lt;&gt;"", IFERROR(VLOOKUP(A74, Ingreso!$B:$D, 3, FALSE), 0), "")</f>
        <v>1000</v>
      </c>
      <c r="G74" s="5">
        <f t="shared" si="1"/>
        <v>1611.9</v>
      </c>
      <c r="H74" s="5">
        <f t="shared" si="2"/>
        <v>378.1</v>
      </c>
      <c r="I74" s="5">
        <f t="shared" si="3"/>
        <v>0</v>
      </c>
    </row>
    <row r="75" ht="14.25" customHeight="1">
      <c r="A75" s="77">
        <v>8095749.0</v>
      </c>
      <c r="B75" s="8" t="str">
        <f>IF(A75&lt;&gt;"", IFERROR(VLOOKUP(A75, Ingreso!$B:$H, 2, FALSE), "No existe SKU"), "")</f>
        <v>Salero y Pimentero Cerditos </v>
      </c>
      <c r="C75" s="73">
        <v>1.0</v>
      </c>
      <c r="D75" s="65">
        <f>C75*( VLOOKUP(A75,Ingreso!B:G,6,0))</f>
        <v>4990</v>
      </c>
      <c r="E75" s="8"/>
      <c r="F75" s="5">
        <f>IF(A75&lt;&gt;"", IFERROR(VLOOKUP(A75, Ingreso!$B:$D, 3, FALSE), 0), "")</f>
        <v>2500</v>
      </c>
      <c r="G75" s="5">
        <f t="shared" si="1"/>
        <v>2016.9</v>
      </c>
      <c r="H75" s="5">
        <f t="shared" si="2"/>
        <v>473.1</v>
      </c>
      <c r="I75" s="5">
        <f t="shared" si="3"/>
        <v>0</v>
      </c>
    </row>
    <row r="76" ht="14.25" customHeight="1">
      <c r="A76" s="77" t="s">
        <v>166</v>
      </c>
      <c r="B76" s="8" t="str">
        <f>IF(A76&lt;&gt;"", IFERROR(VLOOKUP(A76, Ingreso!$B:$H, 2, FALSE), "No existe SKU"), "")</f>
        <v>Humidificador electrico USB</v>
      </c>
      <c r="C76" s="73">
        <v>1.0</v>
      </c>
      <c r="D76" s="65">
        <f>C76*( VLOOKUP(A76,Ingreso!B:G,6,0))</f>
        <v>3890</v>
      </c>
      <c r="E76" s="8"/>
      <c r="F76" s="5">
        <f>IF(A76&lt;&gt;"", IFERROR(VLOOKUP(A76, Ingreso!$B:$D, 3, FALSE), 0), "")</f>
        <v>1900</v>
      </c>
      <c r="G76" s="5">
        <f t="shared" si="1"/>
        <v>1611.9</v>
      </c>
      <c r="H76" s="5">
        <f t="shared" si="2"/>
        <v>378.1</v>
      </c>
      <c r="I76" s="5">
        <f t="shared" si="3"/>
        <v>0</v>
      </c>
    </row>
    <row r="77" ht="14.25" customHeight="1">
      <c r="A77" s="78">
        <v>6242.0</v>
      </c>
      <c r="B77" s="8" t="str">
        <f>IF(A77&lt;&gt;"", IFERROR(VLOOKUP(A77, Ingreso!$B:$H, 2, FALSE), "No existe SKU"), "")</f>
        <v>Caja esencias 12 und 3ml</v>
      </c>
      <c r="C77" s="73">
        <v>1.0</v>
      </c>
      <c r="D77" s="65">
        <f>C77*( VLOOKUP(A77,Ingreso!B:G,6,0))</f>
        <v>2990</v>
      </c>
      <c r="E77" s="8"/>
      <c r="F77" s="5">
        <f>IF(A77&lt;&gt;"", IFERROR(VLOOKUP(A77, Ingreso!$B:$D, 3, FALSE), 0), "")</f>
        <v>1500</v>
      </c>
      <c r="G77" s="5">
        <f t="shared" si="1"/>
        <v>1206.9</v>
      </c>
      <c r="H77" s="5">
        <f t="shared" si="2"/>
        <v>283.1</v>
      </c>
      <c r="I77" s="5">
        <f t="shared" si="3"/>
        <v>0</v>
      </c>
    </row>
    <row r="78" ht="14.25" customHeight="1">
      <c r="A78" s="79">
        <v>808708.0</v>
      </c>
      <c r="B78" s="80" t="str">
        <f>IF(A78&lt;&gt;"", IFERROR(VLOOKUP(A78, Ingreso!$B:$H, 2, FALSE), "No existe SKU"), "")</f>
        <v>Taza Margarita vidrio</v>
      </c>
      <c r="C78" s="81">
        <v>1.0</v>
      </c>
      <c r="D78" s="82">
        <f>C78*( VLOOKUP(A78,Ingreso!B:G,6,0))</f>
        <v>3990</v>
      </c>
      <c r="E78" s="80"/>
      <c r="F78" s="82">
        <f>IF(A78&lt;&gt;"", IFERROR(VLOOKUP(A78, Ingreso!$B:$D, 3, FALSE), 0), "")</f>
        <v>2000</v>
      </c>
      <c r="G78" s="82">
        <f t="shared" si="1"/>
        <v>1611.9</v>
      </c>
      <c r="H78" s="82">
        <f t="shared" si="2"/>
        <v>378.1</v>
      </c>
      <c r="I78" s="82">
        <f t="shared" si="3"/>
        <v>0</v>
      </c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4.25" customHeight="1">
      <c r="A79" s="75">
        <v>808698.0</v>
      </c>
      <c r="B79" s="8" t="str">
        <f>IF(A79&lt;&gt;"", IFERROR(VLOOKUP(A79, Ingreso!$B:$H, 2, FALSE), "No existe SKU"), "")</f>
        <v>Taza Flores Doble fondo</v>
      </c>
      <c r="C79" s="73">
        <v>2.0</v>
      </c>
      <c r="D79" s="65">
        <f>C79*( VLOOKUP(A79,Ingreso!B:G,6,0))</f>
        <v>9980</v>
      </c>
      <c r="E79" s="8"/>
      <c r="F79" s="5">
        <f>IF(A79&lt;&gt;"", IFERROR(VLOOKUP(A79, Ingreso!$B:$D, 3, FALSE), 0), "")</f>
        <v>2500</v>
      </c>
      <c r="G79" s="5">
        <f t="shared" si="1"/>
        <v>4033.8</v>
      </c>
      <c r="H79" s="5">
        <f t="shared" si="2"/>
        <v>946.2</v>
      </c>
      <c r="I79" s="5">
        <f t="shared" si="3"/>
        <v>0</v>
      </c>
    </row>
    <row r="80" ht="14.25" customHeight="1">
      <c r="A80" s="30">
        <v>1212.0</v>
      </c>
      <c r="B80" s="8" t="str">
        <f>IF(A80&lt;&gt;"", IFERROR(VLOOKUP(A80, Ingreso!$B:$H, 2, FALSE), "No existe SKU"), "")</f>
        <v>Bolsa Regalo Dia Mamá</v>
      </c>
      <c r="C80" s="73">
        <v>3.0</v>
      </c>
      <c r="D80" s="65">
        <f>C80*( VLOOKUP(A80,Ingreso!B:G,6,0))</f>
        <v>1500</v>
      </c>
      <c r="E80" s="8"/>
      <c r="F80" s="5">
        <f>IF(A80&lt;&gt;"", IFERROR(VLOOKUP(A80, Ingreso!$B:$D, 3, FALSE), 0), "")</f>
        <v>270</v>
      </c>
      <c r="G80" s="5">
        <f t="shared" si="1"/>
        <v>558.9</v>
      </c>
      <c r="H80" s="5">
        <f t="shared" si="2"/>
        <v>131.1</v>
      </c>
      <c r="I80" s="5">
        <f t="shared" si="3"/>
        <v>0</v>
      </c>
    </row>
    <row r="81" ht="14.25" customHeight="1">
      <c r="A81" s="75">
        <v>15511.0</v>
      </c>
      <c r="B81" s="8" t="str">
        <f>IF(A81&lt;&gt;"", IFERROR(VLOOKUP(A81, Ingreso!$B:$H, 2, FALSE), "No existe SKU"), "")</f>
        <v>Individual Tejido Grisazulado 38cm</v>
      </c>
      <c r="C81" s="73">
        <v>4.0</v>
      </c>
      <c r="D81" s="65">
        <f>C81*( VLOOKUP(A81,Ingreso!B:G,6,0))</f>
        <v>6760</v>
      </c>
      <c r="E81" s="8"/>
      <c r="F81" s="5">
        <f>IF(A81&lt;&gt;"", IFERROR(VLOOKUP(A81, Ingreso!$B:$D, 3, FALSE), 0), "")</f>
        <v>800</v>
      </c>
      <c r="G81" s="5">
        <f t="shared" si="1"/>
        <v>2883.6</v>
      </c>
      <c r="H81" s="5">
        <f t="shared" si="2"/>
        <v>676.4</v>
      </c>
      <c r="I81" s="5">
        <f t="shared" si="3"/>
        <v>0</v>
      </c>
    </row>
    <row r="82" ht="14.25" customHeight="1">
      <c r="A82" s="77">
        <v>61508.0</v>
      </c>
      <c r="B82" s="8" t="str">
        <f>IF(A82&lt;&gt;"", IFERROR(VLOOKUP(A82, Ingreso!$B:$H, 2, FALSE), "No existe SKU"), "")</f>
        <v>Tetera Infusora Vidrio </v>
      </c>
      <c r="C82" s="73">
        <v>1.0</v>
      </c>
      <c r="D82" s="65">
        <f>C82*( VLOOKUP(A82,Ingreso!B:G,6,0))</f>
        <v>8590</v>
      </c>
      <c r="E82" s="8"/>
      <c r="F82" s="5">
        <f>IF(A82&lt;&gt;"", IFERROR(VLOOKUP(A82, Ingreso!$B:$D, 3, FALSE), 0), "")</f>
        <v>4350</v>
      </c>
      <c r="G82" s="5">
        <f t="shared" si="1"/>
        <v>3434.4</v>
      </c>
      <c r="H82" s="5">
        <f t="shared" si="2"/>
        <v>805.6</v>
      </c>
      <c r="I82" s="5">
        <f t="shared" si="3"/>
        <v>0</v>
      </c>
    </row>
    <row r="83" ht="14.25" customHeight="1">
      <c r="A83" s="77">
        <v>7.676887207875E12</v>
      </c>
      <c r="B83" s="8" t="str">
        <f>IF(A83&lt;&gt;"", IFERROR(VLOOKUP(A83, Ingreso!$B:$H, 2, FALSE), "No existe SKU"), "")</f>
        <v>Guatero Electrico Conejo Rosado 26x19cm</v>
      </c>
      <c r="C83" s="73">
        <v>1.0</v>
      </c>
      <c r="D83" s="65">
        <f>C83*( VLOOKUP(A83,Ingreso!B:G,6,0))</f>
        <v>5990</v>
      </c>
      <c r="E83" s="8"/>
      <c r="F83" s="5">
        <f>IF(A83&lt;&gt;"", IFERROR(VLOOKUP(A83, Ingreso!$B:$D, 3, FALSE), 0), "")</f>
        <v>2800</v>
      </c>
      <c r="G83" s="5">
        <f t="shared" si="1"/>
        <v>2583.9</v>
      </c>
      <c r="H83" s="5">
        <f t="shared" si="2"/>
        <v>606.1</v>
      </c>
      <c r="I83" s="5">
        <f t="shared" si="3"/>
        <v>0</v>
      </c>
    </row>
    <row r="84" ht="14.25" customHeight="1">
      <c r="A84" s="77">
        <v>7.676887207875E12</v>
      </c>
      <c r="B84" s="8" t="str">
        <f>IF(A84&lt;&gt;"", IFERROR(VLOOKUP(A84, Ingreso!$B:$H, 2, FALSE), "No existe SKU"), "")</f>
        <v>Guatero Electrico Conejo Rosado 26x19cm</v>
      </c>
      <c r="C84" s="73">
        <v>1.0</v>
      </c>
      <c r="D84" s="65">
        <f>C84*( VLOOKUP(A84,Ingreso!B:G,6,0))</f>
        <v>5990</v>
      </c>
      <c r="E84" s="8"/>
      <c r="F84" s="5">
        <f>IF(A84&lt;&gt;"", IFERROR(VLOOKUP(A84, Ingreso!$B:$D, 3, FALSE), 0), "")</f>
        <v>2800</v>
      </c>
      <c r="G84" s="5">
        <f t="shared" si="1"/>
        <v>2583.9</v>
      </c>
      <c r="H84" s="5">
        <f t="shared" si="2"/>
        <v>606.1</v>
      </c>
      <c r="I84" s="5">
        <f t="shared" si="3"/>
        <v>0</v>
      </c>
    </row>
    <row r="85" ht="14.25" customHeight="1">
      <c r="A85" s="77">
        <v>61508.0</v>
      </c>
      <c r="B85" s="8" t="str">
        <f>IF(A85&lt;&gt;"", IFERROR(VLOOKUP(A85, Ingreso!$B:$H, 2, FALSE), "No existe SKU"), "")</f>
        <v>Tetera Infusora Vidrio </v>
      </c>
      <c r="C85" s="73">
        <v>1.0</v>
      </c>
      <c r="D85" s="65">
        <f>C85*( VLOOKUP(A85,Ingreso!B:G,6,0))</f>
        <v>8590</v>
      </c>
      <c r="E85" s="8"/>
      <c r="F85" s="5">
        <f>IF(A85&lt;&gt;"", IFERROR(VLOOKUP(A85, Ingreso!$B:$D, 3, FALSE), 0), "")</f>
        <v>4350</v>
      </c>
      <c r="G85" s="5">
        <f t="shared" si="1"/>
        <v>3434.4</v>
      </c>
      <c r="H85" s="5">
        <f t="shared" si="2"/>
        <v>805.6</v>
      </c>
      <c r="I85" s="5">
        <f t="shared" si="3"/>
        <v>0</v>
      </c>
    </row>
    <row r="86" ht="14.25" customHeight="1">
      <c r="A86" s="77">
        <v>13935.0</v>
      </c>
      <c r="B86" s="8" t="str">
        <f>IF(A86&lt;&gt;"", IFERROR(VLOOKUP(A86, Ingreso!$B:$H, 2, FALSE), "No existe SKU"), "")</f>
        <v>Espumador de leche electrico </v>
      </c>
      <c r="C86" s="73">
        <v>1.0</v>
      </c>
      <c r="D86" s="65">
        <f>C86*( VLOOKUP(A86,Ingreso!B:G,6,0))</f>
        <v>4990</v>
      </c>
      <c r="E86" s="8"/>
      <c r="F86" s="5">
        <f>IF(A86&lt;&gt;"", IFERROR(VLOOKUP(A86, Ingreso!$B:$D, 3, FALSE), 0), "")</f>
        <v>2300</v>
      </c>
      <c r="G86" s="5">
        <f t="shared" si="1"/>
        <v>2178.9</v>
      </c>
      <c r="H86" s="5">
        <f t="shared" si="2"/>
        <v>511.1</v>
      </c>
      <c r="I86" s="5">
        <f t="shared" si="3"/>
        <v>0</v>
      </c>
    </row>
    <row r="87" ht="14.25" customHeight="1">
      <c r="A87" s="77" t="s">
        <v>203</v>
      </c>
      <c r="B87" s="8" t="str">
        <f>IF(A87&lt;&gt;"", IFERROR(VLOOKUP(A87, Ingreso!$B:$H, 2, FALSE), "No existe SKU"), "")</f>
        <v>Cargador Inalambrico Magsafe </v>
      </c>
      <c r="C87" s="73">
        <v>1.0</v>
      </c>
      <c r="D87" s="65">
        <f>C87*( VLOOKUP(A87,Ingreso!B:G,6,0))</f>
        <v>14990</v>
      </c>
      <c r="E87" s="8"/>
      <c r="F87" s="5">
        <f>IF(A87&lt;&gt;"", IFERROR(VLOOKUP(A87, Ingreso!$B:$D, 3, FALSE), 0), "")</f>
        <v>12600</v>
      </c>
      <c r="G87" s="5">
        <f t="shared" si="1"/>
        <v>1935.9</v>
      </c>
      <c r="H87" s="5">
        <f t="shared" si="2"/>
        <v>454.1</v>
      </c>
      <c r="I87" s="5">
        <f t="shared" si="3"/>
        <v>0</v>
      </c>
    </row>
    <row r="88" ht="14.25" customHeight="1">
      <c r="A88" s="77">
        <v>7.676887207929E12</v>
      </c>
      <c r="B88" s="8" t="str">
        <f>IF(A88&lt;&gt;"", IFERROR(VLOOKUP(A88, Ingreso!$B:$H, 2, FALSE), "No existe SKU"), "")</f>
        <v>Guatero Electrico Marron Oso 26x19cm</v>
      </c>
      <c r="C88" s="73">
        <v>1.0</v>
      </c>
      <c r="D88" s="65">
        <f>C88*( VLOOKUP(A88,Ingreso!B:G,6,0))</f>
        <v>5990</v>
      </c>
      <c r="E88" s="8"/>
      <c r="F88" s="5">
        <f>IF(A88&lt;&gt;"", IFERROR(VLOOKUP(A88, Ingreso!$B:$D, 3, FALSE), 0), "")</f>
        <v>2800</v>
      </c>
      <c r="G88" s="5">
        <f t="shared" si="1"/>
        <v>2583.9</v>
      </c>
      <c r="H88" s="5">
        <f t="shared" si="2"/>
        <v>606.1</v>
      </c>
      <c r="I88" s="5">
        <f t="shared" si="3"/>
        <v>0</v>
      </c>
    </row>
    <row r="89" ht="14.25" customHeight="1">
      <c r="A89" s="77">
        <v>13935.0</v>
      </c>
      <c r="B89" s="8" t="str">
        <f>IF(A89&lt;&gt;"", IFERROR(VLOOKUP(A89, Ingreso!$B:$H, 2, FALSE), "No existe SKU"), "")</f>
        <v>Espumador de leche electrico </v>
      </c>
      <c r="C89" s="73">
        <v>1.0</v>
      </c>
      <c r="D89" s="65">
        <f>C89*( VLOOKUP(A89,Ingreso!B:G,6,0))</f>
        <v>4990</v>
      </c>
      <c r="E89" s="8"/>
      <c r="F89" s="5">
        <f>IF(A89&lt;&gt;"", IFERROR(VLOOKUP(A89, Ingreso!$B:$D, 3, FALSE), 0), "")</f>
        <v>2300</v>
      </c>
      <c r="G89" s="5">
        <f t="shared" si="1"/>
        <v>2178.9</v>
      </c>
      <c r="H89" s="5">
        <f t="shared" si="2"/>
        <v>511.1</v>
      </c>
      <c r="I89" s="5">
        <f t="shared" si="3"/>
        <v>0</v>
      </c>
    </row>
    <row r="90" ht="14.25" customHeight="1">
      <c r="A90" s="77">
        <v>7.676887207929E12</v>
      </c>
      <c r="B90" s="8" t="str">
        <f>IF(A90&lt;&gt;"", IFERROR(VLOOKUP(A90, Ingreso!$B:$H, 2, FALSE), "No existe SKU"), "")</f>
        <v>Guatero Electrico Marron Oso 26x19cm</v>
      </c>
      <c r="C90" s="73">
        <v>1.0</v>
      </c>
      <c r="D90" s="65">
        <f>C90*( VLOOKUP(A90,Ingreso!B:G,6,0))</f>
        <v>5990</v>
      </c>
      <c r="E90" s="8"/>
      <c r="F90" s="5">
        <f>IF(A90&lt;&gt;"", IFERROR(VLOOKUP(A90, Ingreso!$B:$D, 3, FALSE), 0), "")</f>
        <v>2800</v>
      </c>
      <c r="G90" s="5">
        <f t="shared" si="1"/>
        <v>2583.9</v>
      </c>
      <c r="H90" s="5">
        <f t="shared" si="2"/>
        <v>606.1</v>
      </c>
      <c r="I90" s="5">
        <f t="shared" si="3"/>
        <v>0</v>
      </c>
    </row>
    <row r="91" ht="14.25" customHeight="1">
      <c r="A91" s="76" t="s">
        <v>76</v>
      </c>
      <c r="B91" s="8" t="str">
        <f>IF(A91&lt;&gt;"", IFERROR(VLOOKUP(A91, Ingreso!$B:$H, 2, FALSE), "No existe SKU"), "")</f>
        <v>Masajeador Corporal recargable</v>
      </c>
      <c r="C91" s="73">
        <v>1.0</v>
      </c>
      <c r="D91" s="65">
        <f>C91*( VLOOKUP(A91,Ingreso!B:G,6,0))</f>
        <v>2990</v>
      </c>
      <c r="E91" s="8"/>
      <c r="F91" s="5">
        <f>IF(A91&lt;&gt;"", IFERROR(VLOOKUP(A91, Ingreso!$B:$D, 3, FALSE), 0), "")</f>
        <v>1000</v>
      </c>
      <c r="G91" s="5">
        <f t="shared" si="1"/>
        <v>1611.9</v>
      </c>
      <c r="H91" s="5">
        <f t="shared" si="2"/>
        <v>378.1</v>
      </c>
      <c r="I91" s="5">
        <f t="shared" si="3"/>
        <v>0</v>
      </c>
    </row>
    <row r="92" ht="14.25" customHeight="1">
      <c r="A92" s="76" t="s">
        <v>69</v>
      </c>
      <c r="B92" s="8" t="str">
        <f>IF(A92&lt;&gt;"", IFERROR(VLOOKUP(A92, Ingreso!$B:$H, 2, FALSE), "No existe SKU"), "")</f>
        <v>Serum vitamina C 50ml</v>
      </c>
      <c r="C92" s="73">
        <v>1.0</v>
      </c>
      <c r="D92" s="65">
        <f>C92*( VLOOKUP(A92,Ingreso!B:G,6,0))</f>
        <v>4990</v>
      </c>
      <c r="E92" s="8"/>
      <c r="F92" s="5">
        <f>IF(A92&lt;&gt;"", IFERROR(VLOOKUP(A92, Ingreso!$B:$D, 3, FALSE), 0), "")</f>
        <v>2200</v>
      </c>
      <c r="G92" s="5">
        <f t="shared" si="1"/>
        <v>2259.9</v>
      </c>
      <c r="H92" s="5">
        <f t="shared" si="2"/>
        <v>530.1</v>
      </c>
      <c r="I92" s="5">
        <f t="shared" si="3"/>
        <v>0</v>
      </c>
    </row>
    <row r="93" ht="14.25" customHeight="1">
      <c r="A93" s="76" t="s">
        <v>71</v>
      </c>
      <c r="B93" s="8" t="str">
        <f>IF(A93&lt;&gt;"", IFERROR(VLOOKUP(A93, Ingreso!$B:$H, 2, FALSE), "No existe SKU"), "")</f>
        <v>Crema vitamina C 50g</v>
      </c>
      <c r="C93" s="73">
        <v>1.0</v>
      </c>
      <c r="D93" s="65">
        <f>C93*( VLOOKUP(A93,Ingreso!B:G,6,0))</f>
        <v>4990</v>
      </c>
      <c r="E93" s="8"/>
      <c r="F93" s="5">
        <f>IF(A93&lt;&gt;"", IFERROR(VLOOKUP(A93, Ingreso!$B:$D, 3, FALSE), 0), "")</f>
        <v>2800</v>
      </c>
      <c r="G93" s="5">
        <f t="shared" si="1"/>
        <v>1773.9</v>
      </c>
      <c r="H93" s="5">
        <f t="shared" si="2"/>
        <v>416.1</v>
      </c>
      <c r="I93" s="5">
        <f t="shared" si="3"/>
        <v>0</v>
      </c>
    </row>
    <row r="94" ht="14.25" customHeight="1">
      <c r="A94" s="77">
        <v>52507.0</v>
      </c>
      <c r="B94" s="8" t="str">
        <f>IF(A94&lt;&gt;"", IFERROR(VLOOKUP(A94, Ingreso!$B:$H, 2, FALSE), "No existe SKU"), "")</f>
        <v>Audifonos Airpods Pro 2 </v>
      </c>
      <c r="C94" s="73">
        <v>1.0</v>
      </c>
      <c r="D94" s="65">
        <f>C94*( VLOOKUP(A94,Ingreso!B:G,6,0))</f>
        <v>24990</v>
      </c>
      <c r="E94" s="8"/>
      <c r="F94" s="5">
        <f>IF(A94&lt;&gt;"", IFERROR(VLOOKUP(A94, Ingreso!$B:$D, 3, FALSE), 0), "")</f>
        <v>13680</v>
      </c>
      <c r="G94" s="5">
        <f t="shared" si="1"/>
        <v>9161.1</v>
      </c>
      <c r="H94" s="5">
        <f t="shared" si="2"/>
        <v>2148.9</v>
      </c>
      <c r="I94" s="5">
        <f t="shared" si="3"/>
        <v>0</v>
      </c>
    </row>
    <row r="95" ht="14.25" customHeight="1">
      <c r="A95" s="77">
        <v>52507.0</v>
      </c>
      <c r="B95" s="8" t="str">
        <f>IF(A95&lt;&gt;"", IFERROR(VLOOKUP(A95, Ingreso!$B:$H, 2, FALSE), "No existe SKU"), "")</f>
        <v>Audifonos Airpods Pro 2 </v>
      </c>
      <c r="C95" s="73">
        <v>1.0</v>
      </c>
      <c r="D95" s="65">
        <f>C95*( VLOOKUP(A95,Ingreso!B:G,6,0))</f>
        <v>24990</v>
      </c>
      <c r="E95" s="8"/>
      <c r="F95" s="5">
        <f>IF(A95&lt;&gt;"", IFERROR(VLOOKUP(A95, Ingreso!$B:$D, 3, FALSE), 0), "")</f>
        <v>13680</v>
      </c>
      <c r="G95" s="5">
        <f t="shared" si="1"/>
        <v>9161.1</v>
      </c>
      <c r="H95" s="5">
        <f t="shared" si="2"/>
        <v>2148.9</v>
      </c>
      <c r="I95" s="5">
        <f t="shared" si="3"/>
        <v>0</v>
      </c>
    </row>
    <row r="96" ht="14.25" customHeight="1">
      <c r="A96" s="77" t="s">
        <v>203</v>
      </c>
      <c r="B96" s="8" t="str">
        <f>IF(A96&lt;&gt;"", IFERROR(VLOOKUP(A96, Ingreso!$B:$H, 2, FALSE), "No existe SKU"), "")</f>
        <v>Cargador Inalambrico Magsafe </v>
      </c>
      <c r="C96" s="73">
        <v>1.0</v>
      </c>
      <c r="D96" s="65">
        <f>C96*( VLOOKUP(A96,Ingreso!B:G,6,0))</f>
        <v>14990</v>
      </c>
      <c r="E96" s="8"/>
      <c r="F96" s="5">
        <f>IF(A96&lt;&gt;"", IFERROR(VLOOKUP(A96, Ingreso!$B:$D, 3, FALSE), 0), "")</f>
        <v>12600</v>
      </c>
      <c r="G96" s="5">
        <f t="shared" si="1"/>
        <v>1935.9</v>
      </c>
      <c r="H96" s="5">
        <f t="shared" si="2"/>
        <v>454.1</v>
      </c>
      <c r="I96" s="5">
        <f t="shared" si="3"/>
        <v>0</v>
      </c>
    </row>
    <row r="97" ht="14.25" customHeight="1">
      <c r="A97" s="77">
        <v>13517.0</v>
      </c>
      <c r="B97" s="8" t="str">
        <f>IF(A97&lt;&gt;"", IFERROR(VLOOKUP(A97, Ingreso!$B:$H, 2, FALSE), "No existe SKU"), "")</f>
        <v>Huevera Plastica </v>
      </c>
      <c r="C97" s="73">
        <v>1.0</v>
      </c>
      <c r="D97" s="65">
        <f>C97*( VLOOKUP(A97,Ingreso!B:G,6,0))</f>
        <v>5290</v>
      </c>
      <c r="E97" s="8"/>
      <c r="F97" s="5">
        <f>IF(A97&lt;&gt;"", IFERROR(VLOOKUP(A97, Ingreso!$B:$D, 3, FALSE), 0), "")</f>
        <v>2400</v>
      </c>
      <c r="G97" s="5">
        <f t="shared" si="1"/>
        <v>2340.9</v>
      </c>
      <c r="H97" s="5">
        <f t="shared" si="2"/>
        <v>549.1</v>
      </c>
      <c r="I97" s="5">
        <f t="shared" si="3"/>
        <v>0</v>
      </c>
    </row>
    <row r="98" ht="14.25" customHeight="1">
      <c r="A98" s="77">
        <v>13517.0</v>
      </c>
      <c r="B98" s="8" t="str">
        <f>IF(A98&lt;&gt;"", IFERROR(VLOOKUP(A98, Ingreso!$B:$H, 2, FALSE), "No existe SKU"), "")</f>
        <v>Huevera Plastica </v>
      </c>
      <c r="C98" s="37">
        <v>1.0</v>
      </c>
      <c r="D98" s="65">
        <f>C98*( VLOOKUP(A98,Ingreso!B:G,6,0))</f>
        <v>5290</v>
      </c>
      <c r="E98" s="17"/>
    </row>
    <row r="99" ht="14.25" customHeight="1">
      <c r="A99" s="77">
        <v>13517.0</v>
      </c>
      <c r="B99" s="8" t="str">
        <f>IF(A99&lt;&gt;"", IFERROR(VLOOKUP(A99, Ingreso!$B:$H, 2, FALSE), "No existe SKU"), "")</f>
        <v>Huevera Plastica </v>
      </c>
      <c r="C99" s="24">
        <v>1.0</v>
      </c>
      <c r="D99" s="65">
        <f>C99*( VLOOKUP(A99,Ingreso!B:G,6,0))</f>
        <v>5290</v>
      </c>
      <c r="E99" s="22"/>
      <c r="F99" s="22"/>
      <c r="G99" s="22"/>
      <c r="H99" s="22"/>
      <c r="I99" s="22"/>
    </row>
    <row r="100" ht="14.25" customHeight="1">
      <c r="A100" s="77">
        <v>52507.0</v>
      </c>
      <c r="B100" s="8" t="str">
        <f>IF(A100&lt;&gt;"", IFERROR(VLOOKUP(A100, Ingreso!$B:$H, 2, FALSE), "No existe SKU"), "")</f>
        <v>Audifonos Airpods Pro 2 </v>
      </c>
      <c r="C100" s="24">
        <v>1.0</v>
      </c>
      <c r="D100" s="65">
        <f>C100*( VLOOKUP(A100,Ingreso!B:G,6,0))</f>
        <v>24990</v>
      </c>
      <c r="E100" s="22"/>
      <c r="F100" s="22"/>
      <c r="G100" s="22"/>
      <c r="H100" s="22"/>
      <c r="I100" s="22"/>
    </row>
    <row r="101" ht="14.25" customHeight="1">
      <c r="A101" s="77">
        <v>7.676887207875E12</v>
      </c>
      <c r="B101" s="8" t="str">
        <f>IF(A101&lt;&gt;"", IFERROR(VLOOKUP(A101, Ingreso!$B:$H, 2, FALSE), "No existe SKU"), "")</f>
        <v>Guatero Electrico Conejo Rosado 26x19cm</v>
      </c>
      <c r="C101" s="24">
        <v>1.0</v>
      </c>
      <c r="D101" s="65">
        <f>C101*( VLOOKUP(A101,Ingreso!B:G,6,0))</f>
        <v>5990</v>
      </c>
      <c r="E101" s="22"/>
      <c r="F101" s="22"/>
      <c r="G101" s="22"/>
      <c r="H101" s="22"/>
      <c r="I101" s="22"/>
    </row>
    <row r="102" ht="14.25" customHeight="1">
      <c r="A102" s="75">
        <v>19571.0</v>
      </c>
      <c r="B102" s="8" t="str">
        <f>IF(A102&lt;&gt;"", IFERROR(VLOOKUP(A102, Ingreso!$B:$H, 2, FALSE), "No existe SKU"), "")</f>
        <v>Cesta Ropa Cuadrada café con tapa 42*30*56cm</v>
      </c>
      <c r="C102" s="24">
        <v>1.0</v>
      </c>
      <c r="D102" s="65">
        <f>C102*( VLOOKUP(A102,Ingreso!B:G,6,0))</f>
        <v>15290</v>
      </c>
      <c r="E102" s="22"/>
      <c r="F102" s="22"/>
      <c r="G102" s="22"/>
      <c r="H102" s="22"/>
      <c r="I102" s="22"/>
    </row>
    <row r="103" ht="14.25" customHeight="1">
      <c r="A103" s="77">
        <v>11409.0</v>
      </c>
      <c r="B103" s="8" t="str">
        <f>IF(A103&lt;&gt;"", IFERROR(VLOOKUP(A103, Ingreso!$B:$H, 2, FALSE), "No existe SKU"), "")</f>
        <v>Bolsa lavadora 40x50cm</v>
      </c>
      <c r="C103" s="24">
        <v>1.0</v>
      </c>
      <c r="D103" s="65">
        <f>C103*( VLOOKUP(A103,Ingreso!B:G,6,0))</f>
        <v>1890</v>
      </c>
      <c r="E103" s="22"/>
      <c r="F103" s="22"/>
      <c r="G103" s="22"/>
      <c r="H103" s="22"/>
      <c r="I103" s="22"/>
    </row>
    <row r="104" ht="14.25" customHeight="1">
      <c r="A104" s="77">
        <v>11409.0</v>
      </c>
      <c r="B104" s="8" t="str">
        <f>IF(A104&lt;&gt;"", IFERROR(VLOOKUP(A104, Ingreso!$B:$H, 2, FALSE), "No existe SKU"), "")</f>
        <v>Bolsa lavadora 40x50cm</v>
      </c>
      <c r="C104" s="24">
        <v>2.0</v>
      </c>
      <c r="D104" s="65">
        <f>C104*( VLOOKUP(A104,Ingreso!B:G,6,0))</f>
        <v>3780</v>
      </c>
      <c r="E104" s="22"/>
      <c r="F104" s="22"/>
      <c r="G104" s="22"/>
      <c r="H104" s="22"/>
      <c r="I104" s="22"/>
    </row>
    <row r="105" ht="14.25" customHeight="1">
      <c r="A105" s="77">
        <v>24049.0</v>
      </c>
      <c r="B105" s="8" t="str">
        <f>IF(A105&lt;&gt;"", IFERROR(VLOOKUP(A105, Ingreso!$B:$H, 2, FALSE), "No existe SKU"), "")</f>
        <v>Camino de mesa blanco gris 35x180cm</v>
      </c>
      <c r="C105" s="24">
        <v>1.0</v>
      </c>
      <c r="D105" s="65">
        <f>C105*( VLOOKUP(A105,Ingreso!B:G,6,0))</f>
        <v>5790</v>
      </c>
      <c r="E105" s="22"/>
      <c r="F105" s="22"/>
      <c r="G105" s="22"/>
      <c r="H105" s="22"/>
      <c r="I105" s="22"/>
    </row>
    <row r="106" ht="14.25" customHeight="1">
      <c r="A106" s="75">
        <v>1010.0</v>
      </c>
      <c r="B106" s="8" t="str">
        <f>IF(A106&lt;&gt;"", IFERROR(VLOOKUP(A106, Ingreso!$B:$H, 2, FALSE), "No existe SKU"), "")</f>
        <v>Centrifuga para ensaladas</v>
      </c>
      <c r="C106" s="24">
        <v>1.0</v>
      </c>
      <c r="D106" s="65">
        <f>C106*( VLOOKUP(A106,Ingreso!B:G,6,0))</f>
        <v>9690</v>
      </c>
      <c r="E106" s="22"/>
      <c r="F106" s="22"/>
      <c r="G106" s="22"/>
      <c r="H106" s="22"/>
      <c r="I106" s="22"/>
    </row>
    <row r="107" ht="14.25" customHeight="1">
      <c r="A107" s="75">
        <v>2020.0</v>
      </c>
      <c r="B107" s="8" t="str">
        <f>IF(A107&lt;&gt;"", IFERROR(VLOOKUP(A107, Ingreso!$B:$H, 2, FALSE), "No existe SKU"), "")</f>
        <v>Lechero 1200ml</v>
      </c>
      <c r="C107" s="24">
        <v>1.0</v>
      </c>
      <c r="D107" s="65">
        <f>C107*( VLOOKUP(A107,Ingreso!B:G,6,0))</f>
        <v>3990</v>
      </c>
      <c r="E107" s="22"/>
      <c r="F107" s="22"/>
      <c r="G107" s="22"/>
      <c r="H107" s="22"/>
      <c r="I107" s="22"/>
    </row>
    <row r="108" ht="14.25" customHeight="1">
      <c r="A108" s="75">
        <v>807597.0</v>
      </c>
      <c r="B108" s="8" t="str">
        <f>IF(A108&lt;&gt;"", IFERROR(VLOOKUP(A108, Ingreso!$B:$H, 2, FALSE), "No existe SKU"), "")</f>
        <v>Frasco para miel vidrio y bambu</v>
      </c>
      <c r="C108" s="24">
        <v>1.0</v>
      </c>
      <c r="D108" s="65">
        <f>C108*( VLOOKUP(A108,Ingreso!B:G,6,0))</f>
        <v>5290</v>
      </c>
      <c r="E108" s="22"/>
      <c r="F108" s="22"/>
      <c r="G108" s="22"/>
      <c r="H108" s="22"/>
      <c r="I108" s="22"/>
    </row>
    <row r="109" ht="14.25" customHeight="1">
      <c r="A109" s="75">
        <v>22354.0</v>
      </c>
      <c r="B109" s="8" t="str">
        <f>IF(A109&lt;&gt;"", IFERROR(VLOOKUP(A109, Ingreso!$B:$H, 2, FALSE), "No existe SKU"), "")</f>
        <v>Colgador para Llaves pajaros dorado 20*20cm</v>
      </c>
      <c r="C109" s="24">
        <v>1.0</v>
      </c>
      <c r="D109" s="65">
        <f>C109*( VLOOKUP(A109,Ingreso!B:G,6,0))</f>
        <v>3890</v>
      </c>
      <c r="E109" s="22"/>
      <c r="F109" s="22"/>
      <c r="G109" s="22"/>
      <c r="H109" s="22"/>
      <c r="I109" s="22"/>
    </row>
    <row r="110" ht="14.25" customHeight="1">
      <c r="A110" s="77">
        <v>7.676887207929E12</v>
      </c>
      <c r="B110" s="8" t="str">
        <f>IF(A110&lt;&gt;"", IFERROR(VLOOKUP(A110, Ingreso!$B:$H, 2, FALSE), "No existe SKU"), "")</f>
        <v>Guatero Electrico Marron Oso 26x19cm</v>
      </c>
      <c r="C110" s="24">
        <v>1.0</v>
      </c>
      <c r="D110" s="65">
        <f>C110*( VLOOKUP(A110,Ingreso!B:G,6,0))</f>
        <v>5990</v>
      </c>
      <c r="E110" s="22"/>
      <c r="F110" s="22"/>
      <c r="G110" s="22"/>
      <c r="H110" s="22"/>
      <c r="I110" s="22"/>
    </row>
    <row r="111" ht="14.25" customHeight="1">
      <c r="A111" s="75">
        <v>15511.0</v>
      </c>
      <c r="B111" s="8" t="str">
        <f>IF(A111&lt;&gt;"", IFERROR(VLOOKUP(A111, Ingreso!$B:$H, 2, FALSE), "No existe SKU"), "")</f>
        <v>Individual Tejido Grisazulado 38cm</v>
      </c>
      <c r="C111" s="24">
        <v>8.0</v>
      </c>
      <c r="D111" s="65">
        <f>C111*( VLOOKUP(A111,Ingreso!B:G,6,0))</f>
        <v>13520</v>
      </c>
      <c r="E111" s="22"/>
      <c r="F111" s="22"/>
      <c r="G111" s="22"/>
      <c r="H111" s="22"/>
      <c r="I111" s="22"/>
    </row>
    <row r="112" ht="14.25" customHeight="1">
      <c r="A112" s="77" t="s">
        <v>203</v>
      </c>
      <c r="B112" s="8" t="str">
        <f>IF(A112&lt;&gt;"", IFERROR(VLOOKUP(A112, Ingreso!$B:$H, 2, FALSE), "No existe SKU"), "")</f>
        <v>Cargador Inalambrico Magsafe </v>
      </c>
      <c r="C112" s="24">
        <v>1.0</v>
      </c>
      <c r="D112" s="65">
        <f>C112*( VLOOKUP(A112,Ingreso!B:G,6,0))</f>
        <v>14990</v>
      </c>
      <c r="E112" s="22"/>
      <c r="F112" s="22"/>
      <c r="G112" s="22"/>
      <c r="H112" s="22"/>
      <c r="I112" s="22"/>
    </row>
    <row r="113" ht="14.25" customHeight="1">
      <c r="A113" s="77">
        <v>52507.0</v>
      </c>
      <c r="B113" s="8" t="str">
        <f>IF(A113&lt;&gt;"", IFERROR(VLOOKUP(A113, Ingreso!$B:$H, 2, FALSE), "No existe SKU"), "")</f>
        <v>Audifonos Airpods Pro 2 </v>
      </c>
      <c r="C113" s="24">
        <v>1.0</v>
      </c>
      <c r="D113" s="65">
        <f>C113*( VLOOKUP(A113,Ingreso!B:G,6,0))</f>
        <v>24990</v>
      </c>
      <c r="E113" s="22"/>
      <c r="F113" s="22"/>
      <c r="G113" s="22"/>
      <c r="H113" s="22"/>
      <c r="I113" s="22"/>
    </row>
    <row r="114" ht="14.25" customHeight="1">
      <c r="A114" s="77">
        <v>52507.0</v>
      </c>
      <c r="B114" s="8" t="str">
        <f>IF(A114&lt;&gt;"", IFERROR(VLOOKUP(A114, Ingreso!$B:$H, 2, FALSE), "No existe SKU"), "")</f>
        <v>Audifonos Airpods Pro 2 </v>
      </c>
      <c r="C114" s="24">
        <v>1.0</v>
      </c>
      <c r="D114" s="65">
        <f>C114*( VLOOKUP(A114,Ingreso!B:G,6,0))</f>
        <v>24990</v>
      </c>
      <c r="E114" s="22"/>
      <c r="F114" s="22"/>
      <c r="G114" s="22"/>
      <c r="H114" s="22"/>
      <c r="I114" s="22"/>
    </row>
    <row r="115" ht="14.25" customHeight="1">
      <c r="A115" s="77">
        <v>52507.0</v>
      </c>
      <c r="B115" s="8" t="str">
        <f>IF(A115&lt;&gt;"", IFERROR(VLOOKUP(A115, Ingreso!$B:$H, 2, FALSE), "No existe SKU"), "")</f>
        <v>Audifonos Airpods Pro 2 </v>
      </c>
      <c r="C115" s="24">
        <v>1.0</v>
      </c>
      <c r="D115" s="65">
        <f>C115*( VLOOKUP(A115,Ingreso!B:G,6,0))</f>
        <v>24990</v>
      </c>
      <c r="E115" s="22"/>
      <c r="F115" s="22"/>
      <c r="G115" s="22"/>
      <c r="H115" s="22"/>
      <c r="I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</row>
    <row r="131" ht="14.25" customHeight="1">
      <c r="A131" s="22"/>
    </row>
    <row r="132" ht="14.25" customHeight="1">
      <c r="A132" s="22"/>
    </row>
    <row r="133" ht="14.25" customHeight="1">
      <c r="A133" s="22"/>
    </row>
    <row r="134" ht="14.25" customHeight="1">
      <c r="A134" s="22"/>
    </row>
    <row r="135" ht="14.25" customHeight="1">
      <c r="A135" s="22"/>
    </row>
    <row r="136" ht="14.25" customHeight="1">
      <c r="A136" s="22"/>
    </row>
    <row r="137" ht="14.25" customHeight="1">
      <c r="A137" s="22"/>
    </row>
    <row r="138" ht="14.25" customHeight="1">
      <c r="A138" s="22"/>
    </row>
    <row r="139" ht="14.25" customHeight="1">
      <c r="A139" s="22"/>
    </row>
    <row r="140" ht="14.25" customHeight="1">
      <c r="A140" s="22"/>
    </row>
    <row r="141" ht="14.25" customHeight="1">
      <c r="A141" s="22"/>
    </row>
    <row r="142" ht="14.25" customHeight="1">
      <c r="A142" s="22"/>
    </row>
    <row r="143" ht="14.25" customHeight="1">
      <c r="A143" s="22"/>
    </row>
    <row r="144" ht="14.25" customHeight="1">
      <c r="A144" s="22"/>
    </row>
    <row r="145" ht="14.25" customHeight="1">
      <c r="A145" s="22"/>
    </row>
    <row r="146" ht="14.25" customHeight="1">
      <c r="A146" s="22"/>
    </row>
    <row r="147" ht="14.25" customHeight="1">
      <c r="A147" s="22"/>
    </row>
    <row r="148" ht="14.25" customHeight="1">
      <c r="A148" s="22"/>
    </row>
    <row r="149" ht="14.25" customHeight="1">
      <c r="A149" s="22"/>
    </row>
    <row r="150" ht="14.25" customHeight="1">
      <c r="A150" s="22"/>
    </row>
    <row r="151" ht="14.25" customHeight="1">
      <c r="A151" s="22"/>
    </row>
    <row r="152" ht="14.25" customHeight="1">
      <c r="A152" s="22"/>
    </row>
    <row r="153" ht="14.25" customHeight="1">
      <c r="A153" s="22"/>
    </row>
    <row r="154" ht="14.25" customHeight="1">
      <c r="A154" s="22"/>
    </row>
    <row r="155" ht="14.25" customHeight="1">
      <c r="A155" s="22"/>
    </row>
    <row r="156" ht="14.25" customHeight="1">
      <c r="A156" s="22"/>
    </row>
    <row r="157" ht="14.25" customHeight="1">
      <c r="A157" s="22"/>
    </row>
    <row r="158" ht="14.25" customHeight="1">
      <c r="A158" s="22"/>
    </row>
    <row r="159" ht="14.25" customHeight="1">
      <c r="A159" s="22"/>
    </row>
    <row r="160" ht="14.25" customHeight="1">
      <c r="A160" s="22"/>
    </row>
    <row r="161" ht="14.25" customHeight="1">
      <c r="A161" s="22"/>
    </row>
    <row r="162" ht="14.25" customHeight="1">
      <c r="A162" s="22"/>
    </row>
    <row r="163" ht="14.25" customHeight="1">
      <c r="A163" s="22"/>
    </row>
    <row r="164" ht="14.25" customHeight="1">
      <c r="A164" s="22"/>
    </row>
    <row r="165" ht="14.25" customHeight="1">
      <c r="A165" s="22"/>
    </row>
    <row r="166" ht="14.25" customHeight="1">
      <c r="A166" s="22"/>
    </row>
    <row r="167" ht="14.25" customHeight="1">
      <c r="A167" s="22"/>
    </row>
    <row r="168" ht="14.25" customHeight="1">
      <c r="A168" s="22"/>
    </row>
    <row r="169" ht="14.25" customHeight="1">
      <c r="A169" s="22"/>
    </row>
    <row r="170" ht="14.25" customHeight="1">
      <c r="A170" s="22"/>
    </row>
    <row r="171" ht="14.25" customHeight="1">
      <c r="A171" s="22"/>
    </row>
    <row r="172" ht="14.25" customHeight="1">
      <c r="A172" s="22"/>
    </row>
    <row r="173" ht="14.25" customHeight="1">
      <c r="A173" s="22"/>
    </row>
    <row r="174" ht="14.25" customHeight="1">
      <c r="A174" s="22"/>
    </row>
    <row r="175" ht="14.25" customHeight="1">
      <c r="A175" s="22"/>
    </row>
    <row r="176" ht="14.25" customHeight="1">
      <c r="A176" s="22"/>
    </row>
    <row r="177" ht="14.25" customHeight="1">
      <c r="A177" s="22"/>
    </row>
    <row r="178" ht="14.25" customHeight="1">
      <c r="A178" s="22"/>
    </row>
    <row r="179" ht="14.25" customHeight="1">
      <c r="A179" s="22"/>
    </row>
    <row r="180" ht="14.25" customHeight="1">
      <c r="A180" s="22"/>
    </row>
    <row r="181" ht="14.25" customHeight="1">
      <c r="A181" s="22"/>
    </row>
    <row r="182" ht="14.25" customHeight="1">
      <c r="A182" s="22"/>
    </row>
    <row r="183" ht="14.25" customHeight="1">
      <c r="A183" s="22"/>
    </row>
    <row r="184" ht="14.25" customHeight="1">
      <c r="A184" s="22"/>
    </row>
    <row r="185" ht="14.25" customHeight="1">
      <c r="A185" s="22"/>
    </row>
    <row r="186" ht="14.25" customHeight="1">
      <c r="A186" s="22"/>
    </row>
    <row r="187" ht="14.25" customHeight="1">
      <c r="A187" s="22"/>
    </row>
    <row r="188" ht="14.25" customHeight="1">
      <c r="A188" s="22"/>
    </row>
    <row r="189" ht="14.25" customHeight="1">
      <c r="A189" s="22"/>
    </row>
    <row r="190" ht="14.25" customHeight="1">
      <c r="A190" s="22"/>
    </row>
    <row r="191" ht="14.25" customHeight="1">
      <c r="A191" s="22"/>
    </row>
    <row r="192" ht="14.25" customHeight="1">
      <c r="A192" s="22"/>
    </row>
    <row r="193" ht="14.25" customHeight="1">
      <c r="A193" s="22"/>
    </row>
    <row r="194" ht="14.25" customHeight="1">
      <c r="A194" s="22"/>
    </row>
    <row r="195" ht="14.25" customHeight="1">
      <c r="A195" s="22"/>
    </row>
    <row r="196" ht="14.25" customHeight="1">
      <c r="A196" s="22"/>
    </row>
    <row r="197" ht="14.25" customHeight="1">
      <c r="A197" s="22"/>
    </row>
    <row r="198" ht="14.25" customHeight="1">
      <c r="A198" s="22"/>
    </row>
    <row r="199" ht="14.25" customHeight="1">
      <c r="A199" s="22"/>
    </row>
    <row r="200" ht="14.25" customHeight="1">
      <c r="A200" s="22"/>
    </row>
    <row r="201" ht="14.25" customHeight="1">
      <c r="A201" s="22"/>
    </row>
    <row r="202" ht="14.25" customHeight="1">
      <c r="A202" s="22"/>
    </row>
    <row r="203" ht="14.25" customHeight="1">
      <c r="A203" s="22"/>
    </row>
    <row r="204" ht="14.25" customHeight="1">
      <c r="A204" s="22"/>
    </row>
    <row r="205" ht="14.25" customHeight="1">
      <c r="A205" s="22"/>
    </row>
    <row r="206" ht="14.25" customHeight="1">
      <c r="A206" s="22"/>
    </row>
    <row r="207" ht="14.25" customHeight="1">
      <c r="A207" s="22"/>
    </row>
    <row r="208" ht="14.25" customHeight="1">
      <c r="A208" s="22"/>
    </row>
    <row r="209" ht="14.25" customHeight="1">
      <c r="A209" s="22"/>
    </row>
    <row r="210" ht="14.25" customHeight="1">
      <c r="A210" s="22"/>
    </row>
    <row r="211" ht="14.25" customHeight="1">
      <c r="A211" s="22"/>
    </row>
    <row r="212" ht="14.25" customHeight="1">
      <c r="A212" s="22"/>
    </row>
    <row r="213" ht="14.25" customHeight="1">
      <c r="A213" s="22"/>
    </row>
    <row r="214" ht="14.25" customHeight="1">
      <c r="A214" s="22"/>
    </row>
    <row r="215" ht="14.25" customHeight="1">
      <c r="A215" s="22"/>
    </row>
    <row r="216" ht="14.25" customHeight="1">
      <c r="A216" s="22"/>
    </row>
    <row r="217" ht="14.25" customHeight="1">
      <c r="A217" s="22"/>
    </row>
    <row r="218" ht="14.25" customHeight="1">
      <c r="A218" s="22"/>
    </row>
    <row r="219" ht="14.25" customHeight="1">
      <c r="A219" s="22"/>
    </row>
    <row r="220" ht="14.25" customHeight="1">
      <c r="A220" s="22"/>
    </row>
    <row r="221" ht="14.25" customHeight="1">
      <c r="A221" s="22"/>
    </row>
    <row r="222" ht="14.25" customHeight="1">
      <c r="A222" s="22"/>
    </row>
    <row r="223" ht="14.25" customHeight="1">
      <c r="A223" s="22"/>
    </row>
    <row r="224" ht="14.25" customHeight="1">
      <c r="A224" s="22"/>
    </row>
    <row r="225" ht="14.25" customHeight="1">
      <c r="A225" s="22"/>
    </row>
    <row r="226" ht="14.25" customHeight="1">
      <c r="A226" s="22"/>
    </row>
    <row r="227" ht="14.25" customHeight="1">
      <c r="A227" s="22"/>
    </row>
    <row r="228" ht="14.25" customHeight="1">
      <c r="A228" s="22"/>
    </row>
    <row r="229" ht="14.25" customHeight="1">
      <c r="A229" s="22"/>
    </row>
    <row r="230" ht="14.25" customHeight="1">
      <c r="A230" s="22"/>
    </row>
    <row r="231" ht="14.25" customHeight="1">
      <c r="A231" s="22"/>
    </row>
    <row r="232" ht="14.25" customHeight="1">
      <c r="A232" s="22"/>
    </row>
    <row r="233" ht="14.25" customHeight="1">
      <c r="A233" s="22"/>
    </row>
    <row r="234" ht="14.25" customHeight="1">
      <c r="A234" s="22"/>
    </row>
    <row r="235" ht="14.25" customHeight="1">
      <c r="A235" s="22"/>
    </row>
    <row r="236" ht="14.25" customHeight="1">
      <c r="A236" s="22"/>
    </row>
    <row r="237" ht="14.25" customHeight="1">
      <c r="A237" s="22"/>
    </row>
    <row r="238" ht="14.25" customHeight="1">
      <c r="A238" s="22"/>
    </row>
    <row r="239" ht="14.25" customHeight="1">
      <c r="A239" s="22"/>
    </row>
    <row r="240" ht="14.25" customHeight="1">
      <c r="A240" s="22"/>
    </row>
    <row r="241" ht="14.25" customHeight="1">
      <c r="A241" s="22"/>
    </row>
    <row r="242" ht="14.25" customHeight="1">
      <c r="A242" s="22"/>
    </row>
    <row r="243" ht="14.25" customHeight="1">
      <c r="A243" s="22"/>
    </row>
    <row r="244" ht="14.25" customHeight="1">
      <c r="A244" s="22"/>
    </row>
    <row r="245" ht="14.25" customHeight="1">
      <c r="A245" s="22"/>
    </row>
    <row r="246" ht="14.25" customHeight="1">
      <c r="A246" s="22"/>
    </row>
    <row r="247" ht="14.25" customHeight="1">
      <c r="A247" s="22"/>
    </row>
    <row r="248" ht="14.25" customHeight="1">
      <c r="A248" s="22"/>
    </row>
    <row r="249" ht="14.25" customHeight="1">
      <c r="A249" s="22"/>
    </row>
    <row r="250" ht="14.25" customHeight="1">
      <c r="A250" s="22"/>
    </row>
    <row r="251" ht="14.25" customHeight="1">
      <c r="A251" s="22"/>
    </row>
    <row r="252" ht="14.25" customHeight="1">
      <c r="A252" s="22"/>
    </row>
    <row r="253" ht="14.25" customHeight="1">
      <c r="A253" s="22"/>
    </row>
    <row r="254" ht="14.25" customHeight="1">
      <c r="A254" s="22"/>
    </row>
    <row r="255" ht="14.25" customHeight="1">
      <c r="A255" s="22"/>
    </row>
    <row r="256" ht="14.25" customHeight="1">
      <c r="A256" s="22"/>
    </row>
    <row r="257" ht="14.25" customHeight="1">
      <c r="A257" s="22"/>
    </row>
    <row r="258" ht="14.25" customHeight="1">
      <c r="A258" s="22"/>
    </row>
    <row r="259" ht="14.25" customHeight="1">
      <c r="A259" s="22"/>
    </row>
    <row r="260" ht="14.25" customHeight="1">
      <c r="A260" s="22"/>
    </row>
    <row r="261" ht="14.25" customHeight="1">
      <c r="A261" s="22"/>
    </row>
    <row r="262" ht="14.25" customHeight="1">
      <c r="A262" s="22"/>
    </row>
    <row r="263" ht="14.25" customHeight="1">
      <c r="A263" s="22"/>
    </row>
    <row r="264" ht="14.25" customHeight="1">
      <c r="A264" s="22"/>
    </row>
    <row r="265" ht="14.25" customHeight="1">
      <c r="A265" s="22"/>
    </row>
    <row r="266" ht="14.25" customHeight="1">
      <c r="A266" s="22"/>
    </row>
    <row r="267" ht="14.25" customHeight="1">
      <c r="A267" s="22"/>
    </row>
    <row r="268" ht="14.25" customHeight="1">
      <c r="A268" s="22"/>
    </row>
    <row r="269" ht="14.25" customHeight="1">
      <c r="A269" s="22"/>
    </row>
    <row r="270" ht="14.25" customHeight="1">
      <c r="A270" s="22"/>
    </row>
    <row r="271" ht="14.25" customHeight="1">
      <c r="A271" s="22"/>
    </row>
    <row r="272" ht="14.25" customHeight="1">
      <c r="A272" s="22"/>
    </row>
    <row r="273" ht="14.25" customHeight="1">
      <c r="A273" s="22"/>
    </row>
    <row r="274" ht="14.25" customHeight="1">
      <c r="A274" s="22"/>
    </row>
    <row r="275" ht="14.25" customHeight="1">
      <c r="A275" s="22"/>
    </row>
    <row r="276" ht="14.25" customHeight="1">
      <c r="A276" s="22"/>
    </row>
    <row r="277" ht="14.25" customHeight="1">
      <c r="A277" s="22"/>
    </row>
    <row r="278" ht="14.25" customHeight="1">
      <c r="A278" s="22"/>
    </row>
    <row r="279" ht="14.25" customHeight="1">
      <c r="A279" s="22"/>
    </row>
    <row r="280" ht="14.25" customHeight="1">
      <c r="A280" s="22"/>
    </row>
    <row r="281" ht="14.25" customHeight="1">
      <c r="A281" s="22"/>
    </row>
    <row r="282" ht="14.25" customHeight="1">
      <c r="A282" s="22"/>
    </row>
    <row r="283" ht="14.25" customHeight="1">
      <c r="A283" s="22"/>
    </row>
    <row r="284" ht="14.25" customHeight="1">
      <c r="A284" s="22"/>
    </row>
    <row r="285" ht="14.25" customHeight="1">
      <c r="A285" s="22"/>
    </row>
    <row r="286" ht="14.25" customHeight="1">
      <c r="A286" s="22"/>
    </row>
    <row r="287" ht="14.25" customHeight="1">
      <c r="A287" s="22"/>
    </row>
    <row r="288" ht="14.25" customHeight="1">
      <c r="A288" s="22"/>
    </row>
    <row r="289" ht="14.25" customHeight="1">
      <c r="A289" s="22"/>
    </row>
    <row r="290" ht="14.25" customHeight="1">
      <c r="A290" s="22"/>
    </row>
    <row r="291" ht="14.25" customHeight="1">
      <c r="A291" s="22"/>
    </row>
    <row r="292" ht="14.25" customHeight="1">
      <c r="A292" s="22"/>
    </row>
    <row r="293" ht="14.25" customHeight="1">
      <c r="A293" s="22"/>
    </row>
    <row r="294" ht="14.25" customHeight="1">
      <c r="A294" s="22"/>
    </row>
    <row r="295" ht="14.25" customHeight="1">
      <c r="A295" s="22"/>
    </row>
    <row r="296" ht="14.25" customHeight="1">
      <c r="A296" s="22"/>
    </row>
    <row r="297" ht="14.25" customHeight="1">
      <c r="A297" s="22"/>
    </row>
    <row r="298" ht="14.25" customHeight="1">
      <c r="A298" s="22"/>
    </row>
    <row r="299" ht="14.25" customHeight="1">
      <c r="A299" s="22"/>
    </row>
    <row r="300" ht="14.25" customHeight="1">
      <c r="A300" s="22"/>
    </row>
    <row r="301" ht="14.25" customHeight="1">
      <c r="A301" s="22"/>
    </row>
    <row r="302" ht="14.25" customHeight="1">
      <c r="A302" s="22"/>
    </row>
    <row r="303" ht="14.25" customHeight="1">
      <c r="A303" s="22"/>
    </row>
    <row r="304" ht="14.25" customHeight="1">
      <c r="A304" s="22"/>
    </row>
    <row r="305" ht="14.25" customHeight="1">
      <c r="A305" s="22"/>
    </row>
    <row r="306" ht="14.25" customHeight="1">
      <c r="A306" s="22"/>
    </row>
    <row r="307" ht="14.25" customHeight="1">
      <c r="A307" s="22"/>
    </row>
    <row r="308" ht="14.25" customHeight="1">
      <c r="A308" s="22"/>
    </row>
    <row r="309" ht="14.25" customHeight="1">
      <c r="A309" s="22"/>
    </row>
    <row r="310" ht="14.25" customHeight="1">
      <c r="A310" s="22"/>
    </row>
    <row r="311" ht="14.25" customHeight="1">
      <c r="A311" s="22"/>
    </row>
    <row r="312" ht="14.25" customHeight="1">
      <c r="A312" s="22"/>
    </row>
    <row r="313" ht="14.25" customHeight="1">
      <c r="A313" s="22"/>
    </row>
    <row r="314" ht="14.25" customHeight="1">
      <c r="A314" s="22"/>
    </row>
    <row r="315" ht="14.25" customHeight="1">
      <c r="A315" s="22"/>
    </row>
    <row r="316" ht="14.25" customHeight="1">
      <c r="A316" s="22"/>
    </row>
    <row r="317" ht="14.25" customHeight="1">
      <c r="A317" s="22"/>
    </row>
    <row r="318" ht="14.25" customHeight="1">
      <c r="A318" s="22"/>
    </row>
    <row r="319" ht="14.25" customHeight="1">
      <c r="A319" s="22"/>
    </row>
    <row r="320" ht="14.25" customHeight="1">
      <c r="A320" s="22"/>
    </row>
    <row r="321" ht="14.25" customHeight="1">
      <c r="A321" s="22"/>
    </row>
    <row r="322" ht="14.25" customHeight="1">
      <c r="A322" s="22"/>
    </row>
    <row r="323" ht="14.25" customHeight="1">
      <c r="A323" s="22"/>
    </row>
    <row r="324" ht="14.25" customHeight="1">
      <c r="A324" s="22"/>
    </row>
    <row r="325" ht="14.25" customHeight="1">
      <c r="A325" s="22"/>
    </row>
    <row r="326" ht="14.25" customHeight="1">
      <c r="A326" s="22"/>
    </row>
    <row r="327" ht="14.25" customHeight="1">
      <c r="A327" s="22"/>
    </row>
    <row r="328" ht="14.25" customHeight="1">
      <c r="A328" s="22"/>
    </row>
    <row r="329" ht="14.25" customHeight="1">
      <c r="A329" s="22"/>
    </row>
    <row r="330" ht="14.25" customHeight="1">
      <c r="A330" s="22"/>
    </row>
    <row r="331" ht="14.25" customHeight="1">
      <c r="A331" s="22"/>
    </row>
    <row r="332" ht="14.25" customHeight="1">
      <c r="A332" s="22"/>
    </row>
    <row r="333" ht="14.25" customHeight="1">
      <c r="A333" s="22"/>
    </row>
    <row r="334" ht="14.25" customHeight="1">
      <c r="A334" s="22"/>
    </row>
    <row r="335" ht="14.25" customHeight="1">
      <c r="A335" s="22"/>
    </row>
    <row r="336" ht="14.25" customHeight="1">
      <c r="A336" s="22"/>
    </row>
    <row r="337" ht="14.25" customHeight="1">
      <c r="A337" s="22"/>
    </row>
    <row r="338" ht="14.25" customHeight="1">
      <c r="A338" s="22"/>
    </row>
    <row r="339" ht="14.25" customHeight="1">
      <c r="A339" s="22"/>
    </row>
    <row r="340" ht="14.25" customHeight="1">
      <c r="A340" s="22"/>
    </row>
    <row r="341" ht="14.25" customHeight="1">
      <c r="A341" s="22"/>
    </row>
    <row r="342" ht="14.25" customHeight="1">
      <c r="A342" s="22"/>
    </row>
    <row r="343" ht="14.25" customHeight="1">
      <c r="A343" s="22"/>
    </row>
    <row r="344" ht="14.25" customHeight="1">
      <c r="A344" s="22"/>
    </row>
    <row r="345" ht="14.25" customHeight="1">
      <c r="A345" s="22"/>
    </row>
    <row r="346" ht="14.25" customHeight="1">
      <c r="A346" s="22"/>
    </row>
    <row r="347" ht="14.25" customHeight="1">
      <c r="A347" s="22"/>
    </row>
    <row r="348" ht="14.25" customHeight="1">
      <c r="A348" s="22"/>
    </row>
    <row r="349" ht="14.25" customHeight="1">
      <c r="A349" s="22"/>
    </row>
    <row r="350" ht="14.25" customHeight="1">
      <c r="A350" s="22"/>
    </row>
    <row r="351" ht="14.25" customHeight="1">
      <c r="A351" s="22"/>
    </row>
    <row r="352" ht="14.25" customHeight="1">
      <c r="A352" s="22"/>
    </row>
    <row r="353" ht="14.25" customHeight="1">
      <c r="A353" s="22"/>
    </row>
    <row r="354" ht="14.25" customHeight="1">
      <c r="A354" s="22"/>
    </row>
    <row r="355" ht="14.25" customHeight="1">
      <c r="A355" s="22"/>
    </row>
    <row r="356" ht="14.25" customHeight="1">
      <c r="A356" s="22"/>
    </row>
    <row r="357" ht="14.25" customHeight="1">
      <c r="A357" s="22"/>
    </row>
    <row r="358" ht="14.25" customHeight="1">
      <c r="A358" s="22"/>
    </row>
    <row r="359" ht="14.25" customHeight="1">
      <c r="A359" s="22"/>
    </row>
    <row r="360" ht="14.25" customHeight="1">
      <c r="A360" s="22"/>
    </row>
    <row r="361" ht="14.25" customHeight="1">
      <c r="A361" s="22"/>
    </row>
    <row r="362" ht="14.25" customHeight="1">
      <c r="A362" s="22"/>
    </row>
    <row r="363" ht="14.25" customHeight="1">
      <c r="A363" s="22"/>
    </row>
    <row r="364" ht="14.25" customHeight="1">
      <c r="A364" s="22"/>
    </row>
    <row r="365" ht="14.25" customHeight="1">
      <c r="A365" s="22"/>
    </row>
    <row r="366" ht="14.25" customHeight="1">
      <c r="A366" s="22"/>
    </row>
    <row r="367" ht="14.25" customHeight="1">
      <c r="A367" s="22"/>
    </row>
    <row r="368" ht="14.25" customHeight="1">
      <c r="A368" s="22"/>
    </row>
    <row r="369" ht="14.25" customHeight="1">
      <c r="A369" s="22"/>
    </row>
    <row r="370" ht="14.25" customHeight="1">
      <c r="A370" s="22"/>
    </row>
    <row r="371" ht="14.25" customHeight="1">
      <c r="A371" s="22"/>
    </row>
    <row r="372" ht="14.25" customHeight="1">
      <c r="A372" s="22"/>
    </row>
    <row r="373" ht="14.25" customHeight="1">
      <c r="A373" s="22"/>
    </row>
    <row r="374" ht="14.25" customHeight="1">
      <c r="A374" s="22"/>
    </row>
    <row r="375" ht="14.25" customHeight="1">
      <c r="A375" s="22"/>
    </row>
    <row r="376" ht="14.25" customHeight="1">
      <c r="A376" s="22"/>
    </row>
    <row r="377" ht="14.25" customHeight="1">
      <c r="A377" s="22"/>
    </row>
    <row r="378" ht="14.25" customHeight="1">
      <c r="A378" s="22"/>
    </row>
    <row r="379" ht="14.25" customHeight="1">
      <c r="A379" s="22"/>
    </row>
    <row r="380" ht="14.25" customHeight="1">
      <c r="A380" s="22"/>
    </row>
    <row r="381" ht="14.25" customHeight="1">
      <c r="A381" s="22"/>
    </row>
    <row r="382" ht="14.25" customHeight="1">
      <c r="A382" s="22"/>
    </row>
    <row r="383" ht="14.25" customHeight="1">
      <c r="A383" s="22"/>
    </row>
    <row r="384" ht="14.25" customHeight="1">
      <c r="A384" s="22"/>
    </row>
    <row r="385" ht="14.25" customHeight="1">
      <c r="A385" s="22"/>
    </row>
    <row r="386" ht="14.25" customHeight="1">
      <c r="A386" s="22"/>
    </row>
    <row r="387" ht="14.25" customHeight="1">
      <c r="A387" s="22"/>
    </row>
    <row r="388" ht="14.25" customHeight="1">
      <c r="A388" s="22"/>
    </row>
    <row r="389" ht="14.25" customHeight="1">
      <c r="A389" s="22"/>
    </row>
    <row r="390" ht="14.25" customHeight="1">
      <c r="A390" s="22"/>
    </row>
    <row r="391" ht="14.25" customHeight="1">
      <c r="A391" s="22"/>
    </row>
    <row r="392" ht="14.25" customHeight="1">
      <c r="A392" s="22"/>
    </row>
    <row r="393" ht="14.25" customHeight="1">
      <c r="A393" s="22"/>
    </row>
    <row r="394" ht="14.25" customHeight="1">
      <c r="A394" s="22"/>
    </row>
    <row r="395" ht="14.25" customHeight="1">
      <c r="A395" s="22"/>
    </row>
    <row r="396" ht="14.25" customHeight="1">
      <c r="A396" s="22"/>
    </row>
    <row r="397" ht="14.25" customHeight="1">
      <c r="A397" s="22"/>
    </row>
    <row r="398" ht="14.25" customHeight="1">
      <c r="A398" s="22"/>
    </row>
    <row r="399" ht="14.25" customHeight="1">
      <c r="A399" s="22"/>
    </row>
    <row r="400" ht="14.25" customHeight="1">
      <c r="A400" s="22"/>
    </row>
    <row r="401" ht="14.25" customHeight="1">
      <c r="A401" s="22"/>
    </row>
    <row r="402" ht="14.25" customHeight="1">
      <c r="A402" s="22"/>
    </row>
    <row r="403" ht="14.25" customHeight="1">
      <c r="A403" s="22"/>
    </row>
    <row r="404" ht="14.25" customHeight="1">
      <c r="A404" s="22"/>
    </row>
    <row r="405" ht="14.25" customHeight="1">
      <c r="A405" s="22"/>
    </row>
    <row r="406" ht="14.25" customHeight="1">
      <c r="A406" s="22"/>
    </row>
    <row r="407" ht="14.25" customHeight="1">
      <c r="A407" s="22"/>
    </row>
    <row r="408" ht="14.25" customHeight="1">
      <c r="A408" s="22"/>
    </row>
    <row r="409" ht="14.25" customHeight="1">
      <c r="A409" s="22"/>
    </row>
    <row r="410" ht="14.25" customHeight="1">
      <c r="A410" s="22"/>
    </row>
    <row r="411" ht="14.25" customHeight="1">
      <c r="A411" s="22"/>
    </row>
    <row r="412" ht="14.25" customHeight="1">
      <c r="A412" s="22"/>
    </row>
    <row r="413" ht="14.25" customHeight="1">
      <c r="A413" s="22"/>
    </row>
    <row r="414" ht="14.25" customHeight="1">
      <c r="A414" s="22"/>
    </row>
    <row r="415" ht="14.25" customHeight="1">
      <c r="A415" s="22"/>
    </row>
    <row r="416" ht="14.25" customHeight="1">
      <c r="A416" s="22"/>
    </row>
    <row r="417" ht="14.25" customHeight="1">
      <c r="A417" s="22"/>
    </row>
    <row r="418" ht="14.25" customHeight="1">
      <c r="A418" s="22"/>
    </row>
    <row r="419" ht="14.25" customHeight="1">
      <c r="A419" s="22"/>
    </row>
    <row r="420" ht="14.25" customHeight="1">
      <c r="A420" s="22"/>
    </row>
    <row r="421" ht="14.25" customHeight="1">
      <c r="A421" s="22"/>
    </row>
    <row r="422" ht="14.25" customHeight="1">
      <c r="A422" s="22"/>
    </row>
    <row r="423" ht="14.25" customHeight="1">
      <c r="A423" s="22"/>
    </row>
    <row r="424" ht="14.25" customHeight="1">
      <c r="A424" s="22"/>
    </row>
    <row r="425" ht="14.25" customHeight="1">
      <c r="A425" s="22"/>
    </row>
    <row r="426" ht="14.25" customHeight="1">
      <c r="A426" s="22"/>
    </row>
    <row r="427" ht="14.25" customHeight="1">
      <c r="A427" s="22"/>
    </row>
    <row r="428" ht="14.25" customHeight="1">
      <c r="A428" s="22"/>
    </row>
    <row r="429" ht="14.25" customHeight="1">
      <c r="A429" s="22"/>
    </row>
    <row r="430" ht="14.25" customHeight="1">
      <c r="A430" s="22"/>
    </row>
    <row r="431" ht="14.25" customHeight="1">
      <c r="A431" s="22"/>
    </row>
    <row r="432" ht="14.25" customHeight="1">
      <c r="A432" s="22"/>
    </row>
    <row r="433" ht="14.25" customHeight="1">
      <c r="A433" s="22"/>
    </row>
    <row r="434" ht="14.25" customHeight="1">
      <c r="A434" s="22"/>
    </row>
    <row r="435" ht="14.25" customHeight="1">
      <c r="A435" s="22"/>
    </row>
    <row r="436" ht="14.25" customHeight="1">
      <c r="A436" s="22"/>
    </row>
    <row r="437" ht="14.25" customHeight="1">
      <c r="A437" s="22"/>
    </row>
    <row r="438" ht="14.25" customHeight="1">
      <c r="A438" s="22"/>
    </row>
    <row r="439" ht="14.25" customHeight="1">
      <c r="A439" s="22"/>
    </row>
    <row r="440" ht="14.25" customHeight="1">
      <c r="A440" s="22"/>
    </row>
    <row r="441" ht="14.25" customHeight="1">
      <c r="A441" s="22"/>
    </row>
    <row r="442" ht="14.25" customHeight="1">
      <c r="A442" s="22"/>
    </row>
    <row r="443" ht="14.25" customHeight="1">
      <c r="A443" s="22"/>
    </row>
    <row r="444" ht="14.25" customHeight="1">
      <c r="A444" s="22"/>
    </row>
    <row r="445" ht="14.25" customHeight="1">
      <c r="A445" s="22"/>
    </row>
    <row r="446" ht="14.25" customHeight="1">
      <c r="A446" s="22"/>
    </row>
    <row r="447" ht="14.25" customHeight="1">
      <c r="A447" s="22"/>
    </row>
    <row r="448" ht="14.25" customHeight="1">
      <c r="A448" s="22"/>
    </row>
    <row r="449" ht="14.25" customHeight="1">
      <c r="A449" s="22"/>
    </row>
    <row r="450" ht="14.25" customHeight="1">
      <c r="A450" s="22"/>
    </row>
    <row r="451" ht="14.25" customHeight="1">
      <c r="A451" s="22"/>
    </row>
    <row r="452" ht="14.25" customHeight="1">
      <c r="A452" s="22"/>
    </row>
    <row r="453" ht="14.25" customHeight="1">
      <c r="A453" s="22"/>
    </row>
    <row r="454" ht="14.25" customHeight="1">
      <c r="A454" s="22"/>
    </row>
    <row r="455" ht="14.25" customHeight="1">
      <c r="A455" s="22"/>
    </row>
    <row r="456" ht="14.25" customHeight="1">
      <c r="A456" s="22"/>
    </row>
    <row r="457" ht="14.25" customHeight="1">
      <c r="A457" s="22"/>
    </row>
    <row r="458" ht="14.25" customHeight="1">
      <c r="A458" s="22"/>
    </row>
    <row r="459" ht="14.25" customHeight="1">
      <c r="A459" s="22"/>
    </row>
    <row r="460" ht="14.25" customHeight="1">
      <c r="A460" s="22"/>
    </row>
    <row r="461" ht="14.25" customHeight="1">
      <c r="A461" s="22"/>
    </row>
    <row r="462" ht="14.25" customHeight="1">
      <c r="A462" s="22"/>
    </row>
    <row r="463" ht="14.25" customHeight="1">
      <c r="A463" s="22"/>
    </row>
    <row r="464" ht="14.25" customHeight="1">
      <c r="A464" s="22"/>
    </row>
    <row r="465" ht="14.25" customHeight="1">
      <c r="A465" s="22"/>
    </row>
    <row r="466" ht="14.25" customHeight="1">
      <c r="A466" s="22"/>
    </row>
    <row r="467" ht="14.25" customHeight="1">
      <c r="A467" s="22"/>
    </row>
    <row r="468" ht="14.25" customHeight="1">
      <c r="A468" s="22"/>
    </row>
    <row r="469" ht="14.25" customHeight="1">
      <c r="A469" s="22"/>
    </row>
    <row r="470" ht="14.25" customHeight="1">
      <c r="A470" s="22"/>
    </row>
    <row r="471" ht="14.25" customHeight="1">
      <c r="A471" s="22"/>
    </row>
    <row r="472" ht="14.25" customHeight="1">
      <c r="A472" s="22"/>
    </row>
    <row r="473" ht="14.25" customHeight="1">
      <c r="A473" s="22"/>
    </row>
    <row r="474" ht="14.25" customHeight="1">
      <c r="A474" s="22"/>
    </row>
    <row r="475" ht="14.25" customHeight="1">
      <c r="A475" s="22"/>
    </row>
    <row r="476" ht="14.25" customHeight="1">
      <c r="A476" s="22"/>
    </row>
    <row r="477" ht="14.25" customHeight="1">
      <c r="A477" s="22"/>
    </row>
    <row r="478" ht="14.25" customHeight="1">
      <c r="A478" s="22"/>
    </row>
    <row r="479" ht="14.25" customHeight="1">
      <c r="A479" s="22"/>
    </row>
    <row r="480" ht="14.25" customHeight="1">
      <c r="A480" s="22"/>
    </row>
    <row r="481" ht="14.25" customHeight="1">
      <c r="A481" s="22"/>
    </row>
    <row r="482" ht="14.25" customHeight="1">
      <c r="A482" s="22"/>
    </row>
    <row r="483" ht="14.25" customHeight="1">
      <c r="A483" s="22"/>
    </row>
    <row r="484" ht="14.25" customHeight="1">
      <c r="A484" s="22"/>
    </row>
    <row r="485" ht="14.25" customHeight="1">
      <c r="A485" s="22"/>
    </row>
    <row r="486" ht="14.25" customHeight="1">
      <c r="A486" s="22"/>
    </row>
    <row r="487" ht="14.25" customHeight="1">
      <c r="A487" s="22"/>
    </row>
    <row r="488" ht="14.25" customHeight="1">
      <c r="A488" s="22"/>
    </row>
    <row r="489" ht="14.25" customHeight="1">
      <c r="A489" s="22"/>
    </row>
    <row r="490" ht="14.25" customHeight="1">
      <c r="A490" s="22"/>
    </row>
    <row r="491" ht="14.25" customHeight="1">
      <c r="A491" s="22"/>
    </row>
    <row r="492" ht="14.25" customHeight="1">
      <c r="A492" s="22"/>
    </row>
    <row r="493" ht="14.25" customHeight="1">
      <c r="A493" s="22"/>
    </row>
    <row r="494" ht="14.25" customHeight="1">
      <c r="A494" s="22"/>
    </row>
    <row r="495" ht="14.25" customHeight="1">
      <c r="A495" s="22"/>
    </row>
    <row r="496" ht="14.25" customHeight="1">
      <c r="A496" s="22"/>
    </row>
    <row r="497" ht="14.25" customHeight="1">
      <c r="A497" s="22"/>
    </row>
    <row r="498" ht="14.25" customHeight="1">
      <c r="A498" s="22"/>
    </row>
    <row r="499" ht="14.25" customHeight="1">
      <c r="A499" s="22"/>
    </row>
    <row r="500" ht="14.25" customHeight="1">
      <c r="A500" s="22"/>
    </row>
    <row r="501" ht="14.25" customHeight="1">
      <c r="A501" s="22"/>
    </row>
    <row r="502" ht="14.25" customHeight="1">
      <c r="A502" s="22"/>
    </row>
    <row r="503" ht="14.25" customHeight="1">
      <c r="A503" s="22"/>
    </row>
    <row r="504" ht="14.25" customHeight="1">
      <c r="A504" s="22"/>
    </row>
    <row r="505" ht="14.25" customHeight="1">
      <c r="A505" s="22"/>
    </row>
    <row r="506" ht="14.25" customHeight="1">
      <c r="A506" s="22"/>
    </row>
    <row r="507" ht="14.25" customHeight="1">
      <c r="A507" s="22"/>
    </row>
    <row r="508" ht="14.25" customHeight="1">
      <c r="A508" s="22"/>
    </row>
    <row r="509" ht="14.25" customHeight="1">
      <c r="A509" s="22"/>
    </row>
    <row r="510" ht="14.25" customHeight="1">
      <c r="A510" s="22"/>
    </row>
    <row r="511" ht="14.25" customHeight="1">
      <c r="A511" s="22"/>
    </row>
    <row r="512" ht="14.25" customHeight="1">
      <c r="A512" s="22"/>
    </row>
    <row r="513" ht="14.25" customHeight="1">
      <c r="A513" s="22"/>
    </row>
    <row r="514" ht="14.25" customHeight="1">
      <c r="A514" s="22"/>
    </row>
    <row r="515" ht="14.25" customHeight="1">
      <c r="A515" s="22"/>
    </row>
    <row r="516" ht="14.25" customHeight="1">
      <c r="A516" s="22"/>
    </row>
    <row r="517" ht="14.25" customHeight="1">
      <c r="A517" s="22"/>
    </row>
    <row r="518" ht="14.25" customHeight="1">
      <c r="A518" s="22"/>
    </row>
    <row r="519" ht="14.25" customHeight="1">
      <c r="A519" s="22"/>
    </row>
    <row r="520" ht="14.25" customHeight="1">
      <c r="A520" s="22"/>
    </row>
    <row r="521" ht="14.25" customHeight="1">
      <c r="A521" s="22"/>
    </row>
    <row r="522" ht="14.25" customHeight="1">
      <c r="A522" s="22"/>
    </row>
    <row r="523" ht="14.25" customHeight="1">
      <c r="A523" s="22"/>
    </row>
    <row r="524" ht="14.25" customHeight="1">
      <c r="A524" s="22"/>
    </row>
    <row r="525" ht="14.25" customHeight="1">
      <c r="A525" s="22"/>
    </row>
    <row r="526" ht="14.25" customHeight="1">
      <c r="A526" s="22"/>
    </row>
    <row r="527" ht="14.25" customHeight="1">
      <c r="A527" s="22"/>
    </row>
    <row r="528" ht="14.25" customHeight="1">
      <c r="A528" s="22"/>
    </row>
    <row r="529" ht="14.25" customHeight="1">
      <c r="A529" s="22"/>
    </row>
    <row r="530" ht="14.25" customHeight="1">
      <c r="A530" s="22"/>
    </row>
    <row r="531" ht="14.25" customHeight="1">
      <c r="A531" s="22"/>
    </row>
    <row r="532" ht="14.25" customHeight="1">
      <c r="A532" s="22"/>
    </row>
    <row r="533" ht="14.25" customHeight="1">
      <c r="A533" s="22"/>
    </row>
    <row r="534" ht="14.25" customHeight="1">
      <c r="A534" s="22"/>
    </row>
    <row r="535" ht="14.25" customHeight="1">
      <c r="A535" s="22"/>
    </row>
    <row r="536" ht="14.25" customHeight="1">
      <c r="A536" s="22"/>
    </row>
    <row r="537" ht="14.25" customHeight="1">
      <c r="A537" s="22"/>
    </row>
    <row r="538" ht="14.25" customHeight="1">
      <c r="A538" s="22"/>
    </row>
    <row r="539" ht="14.25" customHeight="1">
      <c r="A539" s="22"/>
    </row>
    <row r="540" ht="14.25" customHeight="1">
      <c r="A540" s="22"/>
    </row>
    <row r="541" ht="14.25" customHeight="1">
      <c r="A541" s="22"/>
    </row>
    <row r="542" ht="14.25" customHeight="1">
      <c r="A542" s="22"/>
    </row>
    <row r="543" ht="14.25" customHeight="1">
      <c r="A543" s="22"/>
    </row>
    <row r="544" ht="14.25" customHeight="1">
      <c r="A544" s="22"/>
    </row>
    <row r="545" ht="14.25" customHeight="1">
      <c r="A545" s="22"/>
    </row>
    <row r="546" ht="14.25" customHeight="1">
      <c r="A546" s="22"/>
    </row>
    <row r="547" ht="14.25" customHeight="1">
      <c r="A547" s="22"/>
    </row>
    <row r="548" ht="14.25" customHeight="1">
      <c r="A548" s="22"/>
    </row>
    <row r="549" ht="14.25" customHeight="1">
      <c r="A549" s="22"/>
    </row>
    <row r="550" ht="14.25" customHeight="1">
      <c r="A550" s="22"/>
    </row>
    <row r="551" ht="14.25" customHeight="1">
      <c r="A551" s="22"/>
    </row>
    <row r="552" ht="14.25" customHeight="1">
      <c r="A552" s="22"/>
    </row>
    <row r="553" ht="14.25" customHeight="1">
      <c r="A553" s="22"/>
    </row>
    <row r="554" ht="14.25" customHeight="1">
      <c r="A554" s="22"/>
    </row>
    <row r="555" ht="14.25" customHeight="1">
      <c r="A555" s="22"/>
    </row>
    <row r="556" ht="14.25" customHeight="1">
      <c r="A556" s="22"/>
    </row>
    <row r="557" ht="14.25" customHeight="1">
      <c r="A557" s="22"/>
    </row>
    <row r="558" ht="14.25" customHeight="1">
      <c r="A558" s="22"/>
    </row>
    <row r="559" ht="14.25" customHeight="1">
      <c r="A559" s="22"/>
    </row>
    <row r="560" ht="14.25" customHeight="1">
      <c r="A560" s="22"/>
    </row>
    <row r="561" ht="14.25" customHeight="1">
      <c r="A561" s="22"/>
    </row>
    <row r="562" ht="14.25" customHeight="1">
      <c r="A562" s="22"/>
    </row>
    <row r="563" ht="14.25" customHeight="1">
      <c r="A563" s="22"/>
    </row>
    <row r="564" ht="14.25" customHeight="1">
      <c r="A564" s="22"/>
    </row>
    <row r="565" ht="14.25" customHeight="1">
      <c r="A565" s="22"/>
    </row>
    <row r="566" ht="14.25" customHeight="1">
      <c r="A566" s="22"/>
    </row>
    <row r="567" ht="14.25" customHeight="1">
      <c r="A567" s="22"/>
    </row>
    <row r="568" ht="14.25" customHeight="1">
      <c r="A568" s="22"/>
    </row>
    <row r="569" ht="14.25" customHeight="1">
      <c r="A569" s="22"/>
    </row>
    <row r="570" ht="14.25" customHeight="1">
      <c r="A570" s="22"/>
    </row>
    <row r="571" ht="14.25" customHeight="1">
      <c r="A571" s="22"/>
    </row>
    <row r="572" ht="14.25" customHeight="1">
      <c r="A572" s="22"/>
    </row>
    <row r="573" ht="14.25" customHeight="1">
      <c r="A573" s="22"/>
    </row>
    <row r="574" ht="14.25" customHeight="1">
      <c r="A574" s="22"/>
    </row>
    <row r="575" ht="14.25" customHeight="1">
      <c r="A575" s="22"/>
    </row>
    <row r="576" ht="14.25" customHeight="1">
      <c r="A576" s="22"/>
    </row>
    <row r="577" ht="14.25" customHeight="1">
      <c r="A577" s="22"/>
    </row>
    <row r="578" ht="14.25" customHeight="1">
      <c r="A578" s="22"/>
    </row>
    <row r="579" ht="14.25" customHeight="1">
      <c r="A579" s="22"/>
    </row>
    <row r="580" ht="14.25" customHeight="1">
      <c r="A580" s="22"/>
    </row>
    <row r="581" ht="14.25" customHeight="1">
      <c r="A581" s="22"/>
    </row>
    <row r="582" ht="14.25" customHeight="1">
      <c r="A582" s="22"/>
    </row>
    <row r="583" ht="14.25" customHeight="1">
      <c r="A583" s="22"/>
    </row>
    <row r="584" ht="14.25" customHeight="1">
      <c r="A584" s="22"/>
    </row>
    <row r="585" ht="14.25" customHeight="1">
      <c r="A585" s="22"/>
    </row>
    <row r="586" ht="14.25" customHeight="1">
      <c r="A586" s="22"/>
    </row>
    <row r="587" ht="14.25" customHeight="1">
      <c r="A587" s="22"/>
    </row>
    <row r="588" ht="14.25" customHeight="1">
      <c r="A588" s="22"/>
    </row>
    <row r="589" ht="14.25" customHeight="1">
      <c r="A589" s="22"/>
    </row>
    <row r="590" ht="14.25" customHeight="1">
      <c r="A590" s="22"/>
    </row>
    <row r="591" ht="14.25" customHeight="1">
      <c r="A591" s="22"/>
    </row>
    <row r="592" ht="14.25" customHeight="1">
      <c r="A592" s="22"/>
    </row>
    <row r="593" ht="14.25" customHeight="1">
      <c r="A593" s="22"/>
    </row>
    <row r="594" ht="14.25" customHeight="1">
      <c r="A594" s="22"/>
    </row>
    <row r="595" ht="14.25" customHeight="1">
      <c r="A595" s="22"/>
    </row>
    <row r="596" ht="14.25" customHeight="1">
      <c r="A596" s="22"/>
    </row>
    <row r="597" ht="14.25" customHeight="1">
      <c r="A597" s="22"/>
    </row>
    <row r="598" ht="14.25" customHeight="1">
      <c r="A598" s="22"/>
    </row>
    <row r="599" ht="14.25" customHeight="1">
      <c r="A599" s="22"/>
    </row>
    <row r="600" ht="14.25" customHeight="1">
      <c r="A600" s="22"/>
    </row>
    <row r="601" ht="14.25" customHeight="1">
      <c r="A601" s="22"/>
    </row>
    <row r="602" ht="14.25" customHeight="1">
      <c r="A602" s="22"/>
    </row>
    <row r="603" ht="14.25" customHeight="1">
      <c r="A603" s="22"/>
    </row>
    <row r="604" ht="14.25" customHeight="1">
      <c r="A604" s="22"/>
    </row>
    <row r="605" ht="14.25" customHeight="1">
      <c r="A605" s="22"/>
    </row>
    <row r="606" ht="14.25" customHeight="1">
      <c r="A606" s="22"/>
    </row>
    <row r="607" ht="14.25" customHeight="1">
      <c r="A607" s="22"/>
    </row>
    <row r="608" ht="14.25" customHeight="1">
      <c r="A608" s="22"/>
    </row>
    <row r="609" ht="14.25" customHeight="1">
      <c r="A609" s="22"/>
    </row>
    <row r="610" ht="14.25" customHeight="1">
      <c r="A610" s="22"/>
    </row>
    <row r="611" ht="14.25" customHeight="1">
      <c r="A611" s="22"/>
    </row>
    <row r="612" ht="14.25" customHeight="1">
      <c r="A612" s="22"/>
    </row>
    <row r="613" ht="14.25" customHeight="1">
      <c r="A613" s="22"/>
    </row>
    <row r="614" ht="14.25" customHeight="1">
      <c r="A614" s="22"/>
    </row>
    <row r="615" ht="14.25" customHeight="1">
      <c r="A615" s="22"/>
    </row>
    <row r="616" ht="14.25" customHeight="1">
      <c r="A616" s="22"/>
    </row>
    <row r="617" ht="14.25" customHeight="1">
      <c r="A617" s="22"/>
    </row>
    <row r="618" ht="14.25" customHeight="1">
      <c r="A618" s="22"/>
    </row>
    <row r="619" ht="14.25" customHeight="1">
      <c r="A619" s="22"/>
    </row>
    <row r="620" ht="14.25" customHeight="1">
      <c r="A620" s="22"/>
    </row>
    <row r="621" ht="14.25" customHeight="1">
      <c r="A621" s="22"/>
    </row>
    <row r="622" ht="14.25" customHeight="1">
      <c r="A622" s="22"/>
    </row>
    <row r="623" ht="14.25" customHeight="1">
      <c r="A623" s="22"/>
    </row>
    <row r="624" ht="14.25" customHeight="1">
      <c r="A624" s="22"/>
    </row>
    <row r="625" ht="14.25" customHeight="1">
      <c r="A625" s="22"/>
    </row>
    <row r="626" ht="14.25" customHeight="1">
      <c r="A626" s="22"/>
    </row>
    <row r="627" ht="14.25" customHeight="1">
      <c r="A627" s="22"/>
    </row>
    <row r="628" ht="14.25" customHeight="1">
      <c r="A628" s="22"/>
    </row>
    <row r="629" ht="14.25" customHeight="1">
      <c r="A629" s="22"/>
    </row>
    <row r="630" ht="14.25" customHeight="1">
      <c r="A630" s="22"/>
    </row>
    <row r="631" ht="14.25" customHeight="1">
      <c r="A631" s="22"/>
    </row>
    <row r="632" ht="14.25" customHeight="1">
      <c r="A632" s="22"/>
    </row>
    <row r="633" ht="14.25" customHeight="1">
      <c r="A633" s="22"/>
    </row>
    <row r="634" ht="14.25" customHeight="1">
      <c r="A634" s="22"/>
    </row>
    <row r="635" ht="14.25" customHeight="1">
      <c r="A635" s="22"/>
    </row>
    <row r="636" ht="14.25" customHeight="1">
      <c r="A636" s="22"/>
    </row>
    <row r="637" ht="14.25" customHeight="1">
      <c r="A637" s="22"/>
    </row>
    <row r="638" ht="14.25" customHeight="1">
      <c r="A638" s="22"/>
    </row>
    <row r="639" ht="14.25" customHeight="1">
      <c r="A639" s="22"/>
    </row>
    <row r="640" ht="14.25" customHeight="1">
      <c r="A640" s="22"/>
    </row>
    <row r="641" ht="14.25" customHeight="1">
      <c r="A641" s="22"/>
    </row>
    <row r="642" ht="14.25" customHeight="1">
      <c r="A642" s="22"/>
    </row>
    <row r="643" ht="14.25" customHeight="1">
      <c r="A643" s="22"/>
    </row>
    <row r="644" ht="14.25" customHeight="1">
      <c r="A644" s="22"/>
    </row>
    <row r="645" ht="14.25" customHeight="1">
      <c r="A645" s="22"/>
    </row>
    <row r="646" ht="14.25" customHeight="1">
      <c r="A646" s="22"/>
    </row>
    <row r="647" ht="14.25" customHeight="1">
      <c r="A647" s="22"/>
    </row>
    <row r="648" ht="14.25" customHeight="1">
      <c r="A648" s="22"/>
    </row>
    <row r="649" ht="14.25" customHeight="1">
      <c r="A649" s="22"/>
    </row>
    <row r="650" ht="14.25" customHeight="1">
      <c r="A650" s="22"/>
    </row>
    <row r="651" ht="14.25" customHeight="1">
      <c r="A651" s="22"/>
    </row>
    <row r="652" ht="14.25" customHeight="1">
      <c r="A652" s="22"/>
    </row>
    <row r="653" ht="14.25" customHeight="1">
      <c r="A653" s="22"/>
    </row>
    <row r="654" ht="14.25" customHeight="1">
      <c r="A654" s="22"/>
    </row>
    <row r="655" ht="14.25" customHeight="1">
      <c r="A655" s="22"/>
    </row>
    <row r="656" ht="14.25" customHeight="1">
      <c r="A656" s="22"/>
    </row>
    <row r="657" ht="14.25" customHeight="1">
      <c r="A657" s="22"/>
    </row>
    <row r="658" ht="14.25" customHeight="1">
      <c r="A658" s="22"/>
    </row>
    <row r="659" ht="14.25" customHeight="1">
      <c r="A659" s="22"/>
    </row>
    <row r="660" ht="14.25" customHeight="1">
      <c r="A660" s="22"/>
    </row>
    <row r="661" ht="14.25" customHeight="1">
      <c r="A661" s="22"/>
    </row>
    <row r="662" ht="14.25" customHeight="1">
      <c r="A662" s="22"/>
    </row>
    <row r="663" ht="14.25" customHeight="1">
      <c r="A663" s="22"/>
    </row>
    <row r="664" ht="14.25" customHeight="1">
      <c r="A664" s="22"/>
    </row>
    <row r="665" ht="14.25" customHeight="1">
      <c r="A665" s="22"/>
    </row>
    <row r="666" ht="14.25" customHeight="1">
      <c r="A666" s="22"/>
    </row>
    <row r="667" ht="14.25" customHeight="1">
      <c r="A667" s="22"/>
    </row>
    <row r="668" ht="14.25" customHeight="1">
      <c r="A668" s="22"/>
    </row>
    <row r="669" ht="14.25" customHeight="1">
      <c r="A669" s="22"/>
    </row>
    <row r="670" ht="14.25" customHeight="1">
      <c r="A670" s="22"/>
    </row>
    <row r="671" ht="14.25" customHeight="1">
      <c r="A671" s="22"/>
    </row>
    <row r="672" ht="14.25" customHeight="1">
      <c r="A672" s="22"/>
    </row>
    <row r="673" ht="14.25" customHeight="1">
      <c r="A673" s="22"/>
    </row>
    <row r="674" ht="14.25" customHeight="1">
      <c r="A674" s="22"/>
    </row>
    <row r="675" ht="14.25" customHeight="1">
      <c r="A675" s="22"/>
    </row>
    <row r="676" ht="14.25" customHeight="1">
      <c r="A676" s="22"/>
    </row>
    <row r="677" ht="14.25" customHeight="1">
      <c r="A677" s="22"/>
    </row>
    <row r="678" ht="14.25" customHeight="1">
      <c r="A678" s="22"/>
    </row>
    <row r="679" ht="14.25" customHeight="1">
      <c r="A679" s="22"/>
    </row>
    <row r="680" ht="14.25" customHeight="1">
      <c r="A680" s="22"/>
    </row>
    <row r="681" ht="14.25" customHeight="1">
      <c r="A681" s="22"/>
    </row>
    <row r="682" ht="14.25" customHeight="1">
      <c r="A682" s="22"/>
    </row>
    <row r="683" ht="14.25" customHeight="1">
      <c r="A683" s="22"/>
    </row>
    <row r="684" ht="14.25" customHeight="1">
      <c r="A684" s="22"/>
    </row>
    <row r="685" ht="14.25" customHeight="1">
      <c r="A685" s="22"/>
    </row>
    <row r="686" ht="14.25" customHeight="1">
      <c r="A686" s="22"/>
    </row>
    <row r="687" ht="14.25" customHeight="1">
      <c r="A687" s="22"/>
    </row>
    <row r="688" ht="14.25" customHeight="1">
      <c r="A688" s="22"/>
    </row>
    <row r="689" ht="14.25" customHeight="1">
      <c r="A689" s="22"/>
    </row>
    <row r="690" ht="14.25" customHeight="1">
      <c r="A690" s="22"/>
    </row>
    <row r="691" ht="14.25" customHeight="1">
      <c r="A691" s="22"/>
    </row>
    <row r="692" ht="14.25" customHeight="1">
      <c r="A692" s="22"/>
    </row>
    <row r="693" ht="14.25" customHeight="1">
      <c r="A693" s="22"/>
    </row>
    <row r="694" ht="14.25" customHeight="1">
      <c r="A694" s="22"/>
    </row>
    <row r="695" ht="14.25" customHeight="1">
      <c r="A695" s="22"/>
    </row>
    <row r="696" ht="14.25" customHeight="1">
      <c r="A696" s="22"/>
    </row>
    <row r="697" ht="14.25" customHeight="1">
      <c r="A697" s="22"/>
    </row>
    <row r="698" ht="14.25" customHeight="1">
      <c r="A698" s="22"/>
    </row>
    <row r="699" ht="14.25" customHeight="1">
      <c r="A699" s="22"/>
    </row>
    <row r="700" ht="14.25" customHeight="1">
      <c r="A700" s="22"/>
    </row>
    <row r="701" ht="14.25" customHeight="1">
      <c r="A701" s="22"/>
    </row>
    <row r="702" ht="14.25" customHeight="1">
      <c r="A702" s="22"/>
    </row>
    <row r="703" ht="14.25" customHeight="1">
      <c r="A703" s="22"/>
    </row>
    <row r="704" ht="14.25" customHeight="1">
      <c r="A704" s="22"/>
    </row>
    <row r="705" ht="14.25" customHeight="1">
      <c r="A705" s="22"/>
    </row>
    <row r="706" ht="14.25" customHeight="1">
      <c r="A706" s="22"/>
    </row>
    <row r="707" ht="14.25" customHeight="1">
      <c r="A707" s="22"/>
    </row>
    <row r="708" ht="14.25" customHeight="1">
      <c r="A708" s="22"/>
    </row>
    <row r="709" ht="14.25" customHeight="1">
      <c r="A709" s="22"/>
    </row>
    <row r="710" ht="14.25" customHeight="1">
      <c r="A710" s="22"/>
    </row>
    <row r="711" ht="14.25" customHeight="1">
      <c r="A711" s="22"/>
    </row>
    <row r="712" ht="14.25" customHeight="1">
      <c r="A712" s="22"/>
    </row>
    <row r="713" ht="14.25" customHeight="1">
      <c r="A713" s="22"/>
    </row>
    <row r="714" ht="14.25" customHeight="1">
      <c r="A714" s="22"/>
    </row>
    <row r="715" ht="14.25" customHeight="1">
      <c r="A715" s="22"/>
    </row>
    <row r="716" ht="14.25" customHeight="1">
      <c r="A716" s="22"/>
    </row>
    <row r="717" ht="14.25" customHeight="1">
      <c r="A717" s="22"/>
    </row>
    <row r="718" ht="14.25" customHeight="1">
      <c r="A718" s="22"/>
    </row>
    <row r="719" ht="14.25" customHeight="1">
      <c r="A719" s="22"/>
    </row>
    <row r="720" ht="14.25" customHeight="1">
      <c r="A720" s="22"/>
    </row>
    <row r="721" ht="14.25" customHeight="1">
      <c r="A721" s="22"/>
    </row>
    <row r="722" ht="14.25" customHeight="1">
      <c r="A722" s="22"/>
    </row>
    <row r="723" ht="14.25" customHeight="1">
      <c r="A723" s="22"/>
    </row>
    <row r="724" ht="14.25" customHeight="1">
      <c r="A724" s="22"/>
    </row>
    <row r="725" ht="14.25" customHeight="1">
      <c r="A725" s="22"/>
    </row>
    <row r="726" ht="14.25" customHeight="1">
      <c r="A726" s="22"/>
    </row>
    <row r="727" ht="14.25" customHeight="1">
      <c r="A727" s="22"/>
    </row>
    <row r="728" ht="14.25" customHeight="1">
      <c r="A728" s="22"/>
    </row>
    <row r="729" ht="14.25" customHeight="1">
      <c r="A729" s="22"/>
    </row>
    <row r="730" ht="14.25" customHeight="1">
      <c r="A730" s="22"/>
    </row>
    <row r="731" ht="14.25" customHeight="1">
      <c r="A731" s="22"/>
    </row>
    <row r="732" ht="14.25" customHeight="1">
      <c r="A732" s="22"/>
    </row>
    <row r="733" ht="14.25" customHeight="1">
      <c r="A733" s="22"/>
    </row>
    <row r="734" ht="14.25" customHeight="1">
      <c r="A734" s="22"/>
    </row>
    <row r="735" ht="14.25" customHeight="1">
      <c r="A735" s="22"/>
    </row>
    <row r="736" ht="14.25" customHeight="1">
      <c r="A736" s="22"/>
    </row>
    <row r="737" ht="14.25" customHeight="1">
      <c r="A737" s="22"/>
    </row>
    <row r="738" ht="14.25" customHeight="1">
      <c r="A738" s="22"/>
    </row>
    <row r="739" ht="14.25" customHeight="1">
      <c r="A739" s="22"/>
    </row>
    <row r="740" ht="14.25" customHeight="1">
      <c r="A740" s="22"/>
    </row>
    <row r="741" ht="14.25" customHeight="1">
      <c r="A741" s="22"/>
    </row>
    <row r="742" ht="14.25" customHeight="1">
      <c r="A742" s="22"/>
    </row>
    <row r="743" ht="14.25" customHeight="1">
      <c r="A743" s="22"/>
    </row>
    <row r="744" ht="14.25" customHeight="1">
      <c r="A744" s="22"/>
    </row>
    <row r="745" ht="14.25" customHeight="1">
      <c r="A745" s="22"/>
    </row>
    <row r="746" ht="14.25" customHeight="1">
      <c r="A746" s="22"/>
    </row>
    <row r="747" ht="14.25" customHeight="1">
      <c r="A747" s="22"/>
    </row>
    <row r="748" ht="14.25" customHeight="1">
      <c r="A748" s="22"/>
    </row>
    <row r="749" ht="14.25" customHeight="1">
      <c r="A749" s="22"/>
    </row>
    <row r="750" ht="14.25" customHeight="1">
      <c r="A750" s="22"/>
    </row>
    <row r="751" ht="14.25" customHeight="1">
      <c r="A751" s="22"/>
    </row>
    <row r="752" ht="14.25" customHeight="1">
      <c r="A752" s="22"/>
    </row>
    <row r="753" ht="14.25" customHeight="1">
      <c r="A753" s="22"/>
    </row>
    <row r="754" ht="14.25" customHeight="1">
      <c r="A754" s="22"/>
    </row>
    <row r="755" ht="14.25" customHeight="1">
      <c r="A755" s="22"/>
    </row>
    <row r="756" ht="14.25" customHeight="1">
      <c r="A756" s="22"/>
    </row>
    <row r="757" ht="14.25" customHeight="1">
      <c r="A757" s="22"/>
    </row>
    <row r="758" ht="14.25" customHeight="1">
      <c r="A758" s="22"/>
    </row>
    <row r="759" ht="14.25" customHeight="1">
      <c r="A759" s="22"/>
    </row>
    <row r="760" ht="14.25" customHeight="1">
      <c r="A760" s="22"/>
    </row>
    <row r="761" ht="14.25" customHeight="1">
      <c r="A761" s="22"/>
    </row>
    <row r="762" ht="14.25" customHeight="1">
      <c r="A762" s="22"/>
    </row>
    <row r="763" ht="14.25" customHeight="1">
      <c r="A763" s="22"/>
    </row>
    <row r="764" ht="14.25" customHeight="1">
      <c r="A764" s="22"/>
    </row>
    <row r="765" ht="14.25" customHeight="1">
      <c r="A765" s="22"/>
    </row>
    <row r="766" ht="14.25" customHeight="1">
      <c r="A766" s="22"/>
    </row>
    <row r="767" ht="14.25" customHeight="1">
      <c r="A767" s="22"/>
    </row>
    <row r="768" ht="14.25" customHeight="1">
      <c r="A768" s="22"/>
    </row>
    <row r="769" ht="14.25" customHeight="1">
      <c r="A769" s="22"/>
    </row>
    <row r="770" ht="14.25" customHeight="1">
      <c r="A770" s="22"/>
    </row>
    <row r="771" ht="14.25" customHeight="1">
      <c r="A771" s="22"/>
    </row>
    <row r="772" ht="14.25" customHeight="1">
      <c r="A772" s="22"/>
    </row>
    <row r="773" ht="14.25" customHeight="1">
      <c r="A773" s="22"/>
    </row>
    <row r="774" ht="14.25" customHeight="1">
      <c r="A774" s="22"/>
    </row>
    <row r="775" ht="14.25" customHeight="1">
      <c r="A775" s="22"/>
    </row>
    <row r="776" ht="14.25" customHeight="1">
      <c r="A776" s="22"/>
    </row>
    <row r="777" ht="14.25" customHeight="1">
      <c r="A777" s="22"/>
    </row>
    <row r="778" ht="14.25" customHeight="1">
      <c r="A778" s="22"/>
    </row>
    <row r="779" ht="14.25" customHeight="1">
      <c r="A779" s="22"/>
    </row>
    <row r="780" ht="14.25" customHeight="1">
      <c r="A780" s="22"/>
    </row>
    <row r="781" ht="14.25" customHeight="1">
      <c r="A781" s="22"/>
    </row>
    <row r="782" ht="14.25" customHeight="1">
      <c r="A782" s="22"/>
    </row>
    <row r="783" ht="14.25" customHeight="1">
      <c r="A783" s="22"/>
    </row>
    <row r="784" ht="14.25" customHeight="1">
      <c r="A784" s="22"/>
    </row>
    <row r="785" ht="14.25" customHeight="1">
      <c r="A785" s="22"/>
    </row>
    <row r="786" ht="14.25" customHeight="1">
      <c r="A786" s="22"/>
    </row>
    <row r="787" ht="14.25" customHeight="1">
      <c r="A787" s="22"/>
    </row>
    <row r="788" ht="14.25" customHeight="1">
      <c r="A788" s="22"/>
    </row>
    <row r="789" ht="14.25" customHeight="1">
      <c r="A789" s="22"/>
    </row>
    <row r="790" ht="14.25" customHeight="1">
      <c r="A790" s="22"/>
    </row>
    <row r="791" ht="14.25" customHeight="1">
      <c r="A791" s="22"/>
    </row>
    <row r="792" ht="14.25" customHeight="1">
      <c r="A792" s="22"/>
    </row>
    <row r="793" ht="14.25" customHeight="1">
      <c r="A793" s="22"/>
    </row>
    <row r="794" ht="14.25" customHeight="1">
      <c r="A794" s="22"/>
    </row>
    <row r="795" ht="14.25" customHeight="1">
      <c r="A795" s="22"/>
    </row>
    <row r="796" ht="14.25" customHeight="1">
      <c r="A796" s="22"/>
    </row>
    <row r="797" ht="14.25" customHeight="1">
      <c r="A797" s="22"/>
    </row>
    <row r="798" ht="14.25" customHeight="1">
      <c r="A798" s="22"/>
    </row>
    <row r="799" ht="14.25" customHeight="1">
      <c r="A799" s="22"/>
    </row>
    <row r="800" ht="14.25" customHeight="1">
      <c r="A800" s="22"/>
    </row>
    <row r="801" ht="14.25" customHeight="1">
      <c r="A801" s="22"/>
    </row>
    <row r="802" ht="14.25" customHeight="1">
      <c r="A802" s="22"/>
    </row>
    <row r="803" ht="14.25" customHeight="1">
      <c r="A803" s="22"/>
    </row>
    <row r="804" ht="14.25" customHeight="1">
      <c r="A804" s="22"/>
    </row>
    <row r="805" ht="14.25" customHeight="1">
      <c r="A805" s="22"/>
    </row>
    <row r="806" ht="14.25" customHeight="1">
      <c r="A806" s="22"/>
    </row>
    <row r="807" ht="14.25" customHeight="1">
      <c r="A807" s="22"/>
    </row>
    <row r="808" ht="14.25" customHeight="1">
      <c r="A808" s="22"/>
    </row>
    <row r="809" ht="14.25" customHeight="1">
      <c r="A809" s="22"/>
    </row>
    <row r="810" ht="14.25" customHeight="1">
      <c r="A810" s="22"/>
    </row>
    <row r="811" ht="14.25" customHeight="1">
      <c r="A811" s="22"/>
    </row>
    <row r="812" ht="14.25" customHeight="1">
      <c r="A812" s="22"/>
    </row>
    <row r="813" ht="14.25" customHeight="1">
      <c r="A813" s="22"/>
    </row>
    <row r="814" ht="14.25" customHeight="1">
      <c r="A814" s="22"/>
    </row>
    <row r="815" ht="14.25" customHeight="1">
      <c r="A815" s="22"/>
    </row>
    <row r="816" ht="14.25" customHeight="1">
      <c r="A816" s="22"/>
    </row>
    <row r="817" ht="14.25" customHeight="1">
      <c r="A817" s="22"/>
    </row>
    <row r="818" ht="14.25" customHeight="1">
      <c r="A818" s="22"/>
    </row>
    <row r="819" ht="14.25" customHeight="1">
      <c r="A819" s="22"/>
    </row>
    <row r="820" ht="14.25" customHeight="1">
      <c r="A820" s="22"/>
    </row>
    <row r="821" ht="14.25" customHeight="1">
      <c r="A821" s="22"/>
    </row>
    <row r="822" ht="14.25" customHeight="1">
      <c r="A822" s="22"/>
    </row>
    <row r="823" ht="14.25" customHeight="1">
      <c r="A823" s="22"/>
    </row>
    <row r="824" ht="14.25" customHeight="1">
      <c r="A824" s="22"/>
    </row>
    <row r="825" ht="14.25" customHeight="1">
      <c r="A825" s="22"/>
    </row>
    <row r="826" ht="14.25" customHeight="1">
      <c r="A826" s="22"/>
    </row>
    <row r="827" ht="14.25" customHeight="1">
      <c r="A827" s="22"/>
    </row>
    <row r="828" ht="14.25" customHeight="1">
      <c r="A828" s="22"/>
    </row>
    <row r="829" ht="14.25" customHeight="1">
      <c r="A829" s="22"/>
    </row>
    <row r="830" ht="14.25" customHeight="1">
      <c r="A830" s="22"/>
    </row>
    <row r="831" ht="14.25" customHeight="1">
      <c r="A831" s="22"/>
    </row>
    <row r="832" ht="14.25" customHeight="1">
      <c r="A832" s="22"/>
    </row>
    <row r="833" ht="14.25" customHeight="1">
      <c r="A833" s="22"/>
    </row>
    <row r="834" ht="14.25" customHeight="1">
      <c r="A834" s="22"/>
    </row>
    <row r="835" ht="14.25" customHeight="1">
      <c r="A835" s="22"/>
    </row>
    <row r="836" ht="14.25" customHeight="1">
      <c r="A836" s="22"/>
    </row>
    <row r="837" ht="14.25" customHeight="1">
      <c r="A837" s="22"/>
    </row>
    <row r="838" ht="14.25" customHeight="1">
      <c r="A838" s="22"/>
    </row>
    <row r="839" ht="14.25" customHeight="1">
      <c r="A839" s="22"/>
    </row>
    <row r="840" ht="14.25" customHeight="1">
      <c r="A840" s="22"/>
    </row>
    <row r="841" ht="14.25" customHeight="1">
      <c r="A841" s="22"/>
    </row>
    <row r="842" ht="14.25" customHeight="1">
      <c r="A842" s="22"/>
    </row>
    <row r="843" ht="14.25" customHeight="1">
      <c r="A843" s="22"/>
    </row>
    <row r="844" ht="14.25" customHeight="1">
      <c r="A844" s="22"/>
    </row>
    <row r="845" ht="14.25" customHeight="1">
      <c r="A845" s="22"/>
    </row>
    <row r="846" ht="14.25" customHeight="1">
      <c r="A846" s="22"/>
    </row>
    <row r="847" ht="14.25" customHeight="1">
      <c r="A847" s="22"/>
    </row>
    <row r="848" ht="14.25" customHeight="1">
      <c r="A848" s="22"/>
    </row>
    <row r="849" ht="14.25" customHeight="1">
      <c r="A849" s="22"/>
    </row>
    <row r="850" ht="14.25" customHeight="1">
      <c r="A850" s="22"/>
    </row>
    <row r="851" ht="14.25" customHeight="1">
      <c r="A851" s="22"/>
    </row>
    <row r="852" ht="14.25" customHeight="1">
      <c r="A852" s="22"/>
    </row>
    <row r="853" ht="14.25" customHeight="1">
      <c r="A853" s="22"/>
    </row>
    <row r="854" ht="14.25" customHeight="1">
      <c r="A854" s="22"/>
    </row>
    <row r="855" ht="14.25" customHeight="1">
      <c r="A855" s="22"/>
    </row>
    <row r="856" ht="14.25" customHeight="1">
      <c r="A856" s="22"/>
    </row>
    <row r="857" ht="14.25" customHeight="1">
      <c r="A857" s="22"/>
    </row>
    <row r="858" ht="14.25" customHeight="1">
      <c r="A858" s="22"/>
    </row>
    <row r="859" ht="14.25" customHeight="1">
      <c r="A859" s="22"/>
    </row>
    <row r="860" ht="14.25" customHeight="1">
      <c r="A860" s="22"/>
    </row>
    <row r="861" ht="14.25" customHeight="1">
      <c r="A861" s="22"/>
    </row>
    <row r="862" ht="14.25" customHeight="1">
      <c r="A862" s="22"/>
    </row>
    <row r="863" ht="14.25" customHeight="1">
      <c r="A863" s="22"/>
    </row>
    <row r="864" ht="14.25" customHeight="1">
      <c r="A864" s="22"/>
    </row>
    <row r="865" ht="14.25" customHeight="1">
      <c r="A865" s="22"/>
    </row>
    <row r="866" ht="14.25" customHeight="1">
      <c r="A866" s="22"/>
    </row>
    <row r="867" ht="14.25" customHeight="1">
      <c r="A867" s="22"/>
    </row>
    <row r="868" ht="14.25" customHeight="1">
      <c r="A868" s="22"/>
    </row>
    <row r="869" ht="14.25" customHeight="1">
      <c r="A869" s="22"/>
    </row>
    <row r="870" ht="14.25" customHeight="1">
      <c r="A870" s="22"/>
    </row>
    <row r="871" ht="14.25" customHeight="1">
      <c r="A871" s="22"/>
    </row>
    <row r="872" ht="14.25" customHeight="1">
      <c r="A872" s="22"/>
    </row>
    <row r="873" ht="14.25" customHeight="1">
      <c r="A873" s="22"/>
    </row>
    <row r="874" ht="14.25" customHeight="1">
      <c r="A874" s="22"/>
    </row>
    <row r="875" ht="14.25" customHeight="1">
      <c r="A875" s="22"/>
    </row>
    <row r="876" ht="14.25" customHeight="1">
      <c r="A876" s="22"/>
    </row>
    <row r="877" ht="14.25" customHeight="1">
      <c r="A877" s="22"/>
    </row>
    <row r="878" ht="14.25" customHeight="1">
      <c r="A878" s="22"/>
    </row>
    <row r="879" ht="14.25" customHeight="1">
      <c r="A879" s="22"/>
    </row>
    <row r="880" ht="14.25" customHeight="1">
      <c r="A880" s="22"/>
    </row>
    <row r="881" ht="14.25" customHeight="1">
      <c r="A881" s="22"/>
    </row>
    <row r="882" ht="14.25" customHeight="1">
      <c r="A882" s="22"/>
    </row>
    <row r="883" ht="14.25" customHeight="1">
      <c r="A883" s="22"/>
    </row>
    <row r="884" ht="14.25" customHeight="1">
      <c r="A884" s="22"/>
    </row>
    <row r="885" ht="14.25" customHeight="1">
      <c r="A885" s="22"/>
    </row>
    <row r="886" ht="14.25" customHeight="1">
      <c r="A886" s="22"/>
    </row>
    <row r="887" ht="14.25" customHeight="1">
      <c r="A887" s="22"/>
    </row>
    <row r="888" ht="14.25" customHeight="1">
      <c r="A888" s="22"/>
    </row>
    <row r="889" ht="14.25" customHeight="1">
      <c r="A889" s="22"/>
    </row>
    <row r="890" ht="14.25" customHeight="1">
      <c r="A890" s="22"/>
    </row>
    <row r="891" ht="14.25" customHeight="1">
      <c r="A891" s="22"/>
    </row>
    <row r="892" ht="14.25" customHeight="1">
      <c r="A892" s="22"/>
    </row>
    <row r="893" ht="14.25" customHeight="1">
      <c r="A893" s="22"/>
    </row>
    <row r="894" ht="14.25" customHeight="1">
      <c r="A894" s="22"/>
    </row>
    <row r="895" ht="14.25" customHeight="1">
      <c r="A895" s="22"/>
    </row>
    <row r="896" ht="14.25" customHeight="1">
      <c r="A896" s="22"/>
    </row>
    <row r="897" ht="14.25" customHeight="1">
      <c r="A897" s="22"/>
    </row>
    <row r="898" ht="14.25" customHeight="1">
      <c r="A898" s="22"/>
    </row>
    <row r="899" ht="14.25" customHeight="1">
      <c r="A899" s="22"/>
    </row>
    <row r="900" ht="14.25" customHeight="1">
      <c r="A900" s="22"/>
    </row>
    <row r="901" ht="14.25" customHeight="1">
      <c r="A901" s="22"/>
    </row>
    <row r="902" ht="14.25" customHeight="1">
      <c r="A902" s="22"/>
    </row>
    <row r="903" ht="14.25" customHeight="1">
      <c r="A903" s="22"/>
    </row>
    <row r="904" ht="14.25" customHeight="1">
      <c r="A904" s="22"/>
    </row>
    <row r="905" ht="14.25" customHeight="1">
      <c r="A905" s="22"/>
    </row>
    <row r="906" ht="14.25" customHeight="1">
      <c r="A906" s="22"/>
    </row>
    <row r="907" ht="14.25" customHeight="1">
      <c r="A907" s="22"/>
    </row>
    <row r="908" ht="14.25" customHeight="1">
      <c r="A908" s="22"/>
    </row>
    <row r="909" ht="14.25" customHeight="1">
      <c r="A909" s="22"/>
    </row>
    <row r="910" ht="14.25" customHeight="1">
      <c r="A910" s="22"/>
    </row>
    <row r="911" ht="14.25" customHeight="1">
      <c r="A911" s="22"/>
    </row>
    <row r="912" ht="14.25" customHeight="1">
      <c r="A912" s="22"/>
    </row>
    <row r="913" ht="14.25" customHeight="1">
      <c r="A913" s="22"/>
    </row>
    <row r="914" ht="14.25" customHeight="1">
      <c r="A914" s="22"/>
    </row>
    <row r="915" ht="14.25" customHeight="1">
      <c r="A915" s="22"/>
    </row>
    <row r="916" ht="14.25" customHeight="1">
      <c r="A916" s="22"/>
    </row>
    <row r="917" ht="14.25" customHeight="1">
      <c r="A917" s="22"/>
    </row>
    <row r="918" ht="14.25" customHeight="1">
      <c r="A918" s="22"/>
    </row>
    <row r="919" ht="14.25" customHeight="1">
      <c r="A919" s="22"/>
    </row>
    <row r="920" ht="14.25" customHeight="1">
      <c r="A920" s="22"/>
    </row>
    <row r="921" ht="14.25" customHeight="1">
      <c r="A921" s="22"/>
    </row>
    <row r="922" ht="14.25" customHeight="1">
      <c r="A922" s="22"/>
    </row>
    <row r="923" ht="14.25" customHeight="1">
      <c r="A923" s="22"/>
    </row>
    <row r="924" ht="14.25" customHeight="1">
      <c r="A924" s="22"/>
    </row>
    <row r="925" ht="14.25" customHeight="1">
      <c r="A925" s="22"/>
    </row>
    <row r="926" ht="14.25" customHeight="1">
      <c r="A926" s="22"/>
    </row>
    <row r="927" ht="14.25" customHeight="1">
      <c r="A927" s="22"/>
    </row>
    <row r="928" ht="14.25" customHeight="1">
      <c r="A928" s="22"/>
    </row>
    <row r="929" ht="14.25" customHeight="1">
      <c r="A929" s="22"/>
    </row>
    <row r="930" ht="14.25" customHeight="1">
      <c r="A930" s="22"/>
    </row>
    <row r="931" ht="14.25" customHeight="1">
      <c r="A931" s="22"/>
    </row>
    <row r="932" ht="14.25" customHeight="1">
      <c r="A932" s="22"/>
    </row>
    <row r="933" ht="14.25" customHeight="1">
      <c r="A933" s="22"/>
    </row>
    <row r="934" ht="14.25" customHeight="1">
      <c r="A934" s="22"/>
    </row>
    <row r="935" ht="14.25" customHeight="1">
      <c r="A935" s="22"/>
    </row>
    <row r="936" ht="14.25" customHeight="1">
      <c r="A936" s="22"/>
    </row>
    <row r="937" ht="14.25" customHeight="1">
      <c r="A937" s="22"/>
    </row>
    <row r="938" ht="14.25" customHeight="1">
      <c r="A938" s="22"/>
    </row>
    <row r="939" ht="14.25" customHeight="1">
      <c r="A939" s="22"/>
    </row>
    <row r="940" ht="14.25" customHeight="1">
      <c r="A940" s="22"/>
    </row>
    <row r="941" ht="14.25" customHeight="1">
      <c r="A941" s="22"/>
    </row>
    <row r="942" ht="14.25" customHeight="1">
      <c r="A942" s="22"/>
    </row>
    <row r="943" ht="14.25" customHeight="1">
      <c r="A943" s="22"/>
    </row>
    <row r="944" ht="14.25" customHeight="1">
      <c r="A944" s="22"/>
    </row>
    <row r="945" ht="14.25" customHeight="1">
      <c r="A945" s="22"/>
    </row>
    <row r="946" ht="14.25" customHeight="1">
      <c r="A946" s="22"/>
    </row>
    <row r="947" ht="14.25" customHeight="1">
      <c r="A947" s="22"/>
    </row>
    <row r="948" ht="14.25" customHeight="1">
      <c r="A948" s="22"/>
    </row>
    <row r="949" ht="14.25" customHeight="1">
      <c r="A949" s="22"/>
    </row>
    <row r="950" ht="14.25" customHeight="1">
      <c r="A950" s="22"/>
    </row>
    <row r="951" ht="14.25" customHeight="1">
      <c r="A951" s="22"/>
    </row>
    <row r="952" ht="14.25" customHeight="1">
      <c r="A952" s="22"/>
    </row>
    <row r="953" ht="14.25" customHeight="1">
      <c r="A953" s="22"/>
    </row>
    <row r="954" ht="14.25" customHeight="1">
      <c r="A954" s="22"/>
    </row>
    <row r="955" ht="14.25" customHeight="1">
      <c r="A955" s="22"/>
    </row>
    <row r="956" ht="14.25" customHeight="1">
      <c r="A956" s="22"/>
    </row>
    <row r="957" ht="14.25" customHeight="1">
      <c r="A957" s="22"/>
    </row>
    <row r="958" ht="14.25" customHeight="1">
      <c r="A958" s="22"/>
    </row>
    <row r="959" ht="14.25" customHeight="1">
      <c r="A959" s="22"/>
    </row>
    <row r="960" ht="14.25" customHeight="1">
      <c r="A960" s="22"/>
    </row>
    <row r="961" ht="14.25" customHeight="1">
      <c r="A961" s="22"/>
    </row>
    <row r="962" ht="14.25" customHeight="1">
      <c r="A962" s="22"/>
    </row>
    <row r="963" ht="14.25" customHeight="1">
      <c r="A963" s="22"/>
    </row>
    <row r="964" ht="14.25" customHeight="1">
      <c r="A964" s="22"/>
    </row>
    <row r="965" ht="14.25" customHeight="1">
      <c r="A965" s="22"/>
    </row>
    <row r="966" ht="14.25" customHeight="1">
      <c r="A966" s="22"/>
    </row>
    <row r="967" ht="14.25" customHeight="1">
      <c r="A967" s="22"/>
    </row>
    <row r="968" ht="14.25" customHeight="1">
      <c r="A968" s="22"/>
    </row>
    <row r="969" ht="14.25" customHeight="1">
      <c r="A969" s="22"/>
    </row>
    <row r="970" ht="14.25" customHeight="1">
      <c r="A970" s="22"/>
    </row>
    <row r="971" ht="14.25" customHeight="1">
      <c r="A971" s="22"/>
    </row>
    <row r="972" ht="14.25" customHeight="1">
      <c r="A972" s="22"/>
    </row>
    <row r="973" ht="14.25" customHeight="1">
      <c r="A973" s="22"/>
    </row>
    <row r="974" ht="14.25" customHeight="1">
      <c r="A974" s="22"/>
    </row>
    <row r="975" ht="14.25" customHeight="1">
      <c r="A975" s="22"/>
    </row>
    <row r="976" ht="14.25" customHeight="1">
      <c r="A976" s="22"/>
    </row>
    <row r="977" ht="14.25" customHeight="1">
      <c r="A977" s="22"/>
    </row>
    <row r="978" ht="14.25" customHeight="1">
      <c r="A978" s="22"/>
    </row>
    <row r="979" ht="14.25" customHeight="1">
      <c r="A979" s="22"/>
    </row>
    <row r="980" ht="14.25" customHeight="1">
      <c r="A980" s="22"/>
    </row>
    <row r="981" ht="14.25" customHeight="1">
      <c r="A981" s="22"/>
    </row>
    <row r="982" ht="14.25" customHeight="1">
      <c r="A982" s="22"/>
    </row>
    <row r="983" ht="14.25" customHeight="1">
      <c r="A983" s="22"/>
    </row>
    <row r="984" ht="14.25" customHeight="1">
      <c r="A984" s="22"/>
    </row>
    <row r="985" ht="14.25" customHeight="1">
      <c r="A985" s="22"/>
    </row>
    <row r="986" ht="14.25" customHeight="1">
      <c r="A986" s="22"/>
    </row>
    <row r="987" ht="14.25" customHeight="1">
      <c r="A987" s="22"/>
    </row>
    <row r="988" ht="14.25" customHeight="1">
      <c r="A988" s="22"/>
    </row>
    <row r="989" ht="14.25" customHeight="1">
      <c r="A989" s="22"/>
    </row>
    <row r="990" ht="14.25" customHeight="1">
      <c r="A990" s="22"/>
    </row>
    <row r="991" ht="14.25" customHeight="1">
      <c r="A991" s="22"/>
    </row>
    <row r="992" ht="14.25" customHeight="1">
      <c r="A992" s="22"/>
    </row>
    <row r="993" ht="14.25" customHeight="1">
      <c r="A993" s="22"/>
    </row>
  </sheetData>
  <autoFilter ref="$A$3:$Z$98"/>
  <mergeCells count="1">
    <mergeCell ref="A1:E1"/>
  </mergeCells>
  <dataValidations>
    <dataValidation type="list" allowBlank="1" sqref="E4:E98">
      <formula1>"Efectivo,Tarjeta,Transferencia"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4.5"/>
    <col customWidth="1" min="5" max="5" width="31.38"/>
  </cols>
  <sheetData>
    <row r="1">
      <c r="A1" s="37" t="s">
        <v>218</v>
      </c>
      <c r="B1" s="84">
        <v>36540.0</v>
      </c>
      <c r="C1" s="37"/>
      <c r="D1" s="85" t="s">
        <v>219</v>
      </c>
      <c r="E1" s="37" t="s">
        <v>220</v>
      </c>
    </row>
    <row r="2">
      <c r="A2" s="37" t="s">
        <v>221</v>
      </c>
      <c r="B2" s="84">
        <v>9180.0</v>
      </c>
      <c r="C2" s="37"/>
      <c r="D2" s="85" t="s">
        <v>219</v>
      </c>
      <c r="E2" s="37" t="s">
        <v>222</v>
      </c>
    </row>
    <row r="3">
      <c r="A3" s="37" t="s">
        <v>223</v>
      </c>
      <c r="B3" s="84">
        <v>9580.0</v>
      </c>
      <c r="C3" s="37"/>
      <c r="D3" s="85" t="s">
        <v>219</v>
      </c>
      <c r="E3" s="37" t="s">
        <v>220</v>
      </c>
    </row>
    <row r="4">
      <c r="A4" s="37" t="s">
        <v>224</v>
      </c>
      <c r="B4" s="84">
        <v>9880.0</v>
      </c>
      <c r="C4" s="37"/>
      <c r="D4" s="85" t="s">
        <v>219</v>
      </c>
      <c r="E4" s="37" t="s">
        <v>220</v>
      </c>
    </row>
    <row r="5">
      <c r="A5" s="37" t="s">
        <v>225</v>
      </c>
      <c r="B5" s="84">
        <v>27680.0</v>
      </c>
      <c r="C5" s="37"/>
      <c r="D5" s="85" t="s">
        <v>219</v>
      </c>
      <c r="E5" s="37" t="s">
        <v>222</v>
      </c>
    </row>
    <row r="6">
      <c r="A6" s="37" t="s">
        <v>226</v>
      </c>
      <c r="B6" s="84">
        <v>9690.0</v>
      </c>
      <c r="C6" s="37"/>
      <c r="D6" s="85" t="s">
        <v>219</v>
      </c>
      <c r="E6" s="37" t="s">
        <v>220</v>
      </c>
    </row>
    <row r="7">
      <c r="A7" s="37" t="s">
        <v>227</v>
      </c>
      <c r="B7" s="84">
        <v>15290.0</v>
      </c>
      <c r="D7" s="85" t="s">
        <v>219</v>
      </c>
      <c r="E7" s="37" t="s">
        <v>220</v>
      </c>
    </row>
    <row r="8">
      <c r="A8" s="37" t="s">
        <v>228</v>
      </c>
      <c r="B8" s="37">
        <v>47650.0</v>
      </c>
      <c r="D8" s="85" t="s">
        <v>219</v>
      </c>
      <c r="E8" s="37" t="s">
        <v>229</v>
      </c>
    </row>
    <row r="9">
      <c r="A9" s="37" t="s">
        <v>228</v>
      </c>
      <c r="B9" s="37">
        <v>7890.0</v>
      </c>
      <c r="D9" s="85" t="s">
        <v>219</v>
      </c>
      <c r="E9" s="37" t="s">
        <v>220</v>
      </c>
    </row>
    <row r="10">
      <c r="A10" s="37" t="s">
        <v>230</v>
      </c>
      <c r="B10" s="37">
        <v>18010.0</v>
      </c>
      <c r="D10" s="85" t="s">
        <v>219</v>
      </c>
      <c r="E10" s="37" t="s">
        <v>220</v>
      </c>
    </row>
    <row r="11">
      <c r="A11" s="37" t="s">
        <v>231</v>
      </c>
      <c r="B11" s="37">
        <v>7080.0</v>
      </c>
      <c r="D11" s="85" t="s">
        <v>219</v>
      </c>
      <c r="E11" s="37" t="s">
        <v>232</v>
      </c>
    </row>
    <row r="12">
      <c r="A12" s="37" t="s">
        <v>233</v>
      </c>
      <c r="B12" s="37">
        <v>3890.0</v>
      </c>
      <c r="D12" s="85" t="s">
        <v>219</v>
      </c>
      <c r="E12" s="37" t="s">
        <v>232</v>
      </c>
    </row>
    <row r="13">
      <c r="A13" s="37" t="s">
        <v>234</v>
      </c>
      <c r="B13" s="37">
        <v>6180.0</v>
      </c>
      <c r="D13" s="85" t="s">
        <v>219</v>
      </c>
      <c r="E13" s="37" t="s">
        <v>232</v>
      </c>
    </row>
    <row r="14">
      <c r="A14" s="37" t="s">
        <v>235</v>
      </c>
      <c r="B14" s="37">
        <v>20580.0</v>
      </c>
      <c r="D14" s="85" t="s">
        <v>219</v>
      </c>
      <c r="E14" s="86" t="s">
        <v>236</v>
      </c>
    </row>
    <row r="15">
      <c r="A15" s="37" t="s">
        <v>237</v>
      </c>
      <c r="B15" s="37">
        <v>18560.0</v>
      </c>
      <c r="D15" s="85" t="s">
        <v>219</v>
      </c>
      <c r="E15" s="37" t="s">
        <v>220</v>
      </c>
    </row>
    <row r="16">
      <c r="A16" s="37" t="s">
        <v>238</v>
      </c>
      <c r="B16" s="37">
        <v>28960.0</v>
      </c>
      <c r="D16" s="85" t="s">
        <v>219</v>
      </c>
      <c r="E16" s="86" t="s">
        <v>236</v>
      </c>
    </row>
    <row r="17">
      <c r="A17" s="37" t="s">
        <v>239</v>
      </c>
      <c r="B17" s="37">
        <v>31130.0</v>
      </c>
      <c r="D17" s="85" t="s">
        <v>219</v>
      </c>
      <c r="E17" s="37" t="s">
        <v>232</v>
      </c>
    </row>
    <row r="18">
      <c r="A18" s="37" t="s">
        <v>240</v>
      </c>
      <c r="B18" s="37">
        <v>30540.0</v>
      </c>
      <c r="D18" s="85" t="s">
        <v>219</v>
      </c>
      <c r="E18" s="37" t="s">
        <v>232</v>
      </c>
    </row>
    <row r="19">
      <c r="A19" s="37" t="s">
        <v>241</v>
      </c>
      <c r="B19" s="37">
        <v>21950.0</v>
      </c>
      <c r="D19" s="85" t="s">
        <v>219</v>
      </c>
      <c r="E19" s="37" t="s">
        <v>232</v>
      </c>
      <c r="I19" s="37" t="s">
        <v>242</v>
      </c>
      <c r="J19" s="37">
        <v>20580.0</v>
      </c>
    </row>
    <row r="20">
      <c r="A20" s="37" t="s">
        <v>243</v>
      </c>
      <c r="B20" s="37">
        <v>5290.0</v>
      </c>
      <c r="D20" s="85" t="s">
        <v>219</v>
      </c>
      <c r="E20" s="37" t="s">
        <v>232</v>
      </c>
      <c r="I20" s="37" t="s">
        <v>244</v>
      </c>
      <c r="J20" s="37">
        <v>28960.0</v>
      </c>
    </row>
    <row r="21">
      <c r="A21" s="37" t="s">
        <v>245</v>
      </c>
      <c r="B21" s="37">
        <v>3990.0</v>
      </c>
      <c r="D21" s="85" t="s">
        <v>219</v>
      </c>
      <c r="E21" s="37"/>
      <c r="I21" s="37" t="s">
        <v>221</v>
      </c>
      <c r="J21" s="37">
        <v>20340.0</v>
      </c>
    </row>
    <row r="22">
      <c r="A22" s="37" t="s">
        <v>246</v>
      </c>
      <c r="B22" s="37">
        <v>13520.0</v>
      </c>
      <c r="D22" s="85" t="s">
        <v>219</v>
      </c>
      <c r="E22" s="37" t="s">
        <v>220</v>
      </c>
      <c r="I22" s="37" t="s">
        <v>247</v>
      </c>
      <c r="J22" s="37">
        <v>15000.0</v>
      </c>
    </row>
    <row r="23">
      <c r="A23" s="37" t="s">
        <v>221</v>
      </c>
      <c r="B23" s="37">
        <v>7780.0</v>
      </c>
      <c r="C23" s="37" t="s">
        <v>248</v>
      </c>
      <c r="D23" s="85" t="s">
        <v>219</v>
      </c>
      <c r="E23" s="37" t="s">
        <v>220</v>
      </c>
      <c r="I23" s="37" t="s">
        <v>249</v>
      </c>
      <c r="J23" s="37">
        <v>5290.0</v>
      </c>
    </row>
    <row r="24">
      <c r="A24" s="37" t="s">
        <v>250</v>
      </c>
      <c r="B24" s="37">
        <v>14860.0</v>
      </c>
      <c r="C24" s="48"/>
      <c r="D24" s="85" t="s">
        <v>219</v>
      </c>
      <c r="E24" s="37" t="s">
        <v>220</v>
      </c>
      <c r="I24" s="37" t="s">
        <v>242</v>
      </c>
      <c r="J24" s="37">
        <v>25000.0</v>
      </c>
    </row>
    <row r="25">
      <c r="A25" s="87" t="s">
        <v>221</v>
      </c>
      <c r="B25" s="87">
        <v>6760.0</v>
      </c>
      <c r="D25" s="85" t="s">
        <v>219</v>
      </c>
      <c r="I25" s="37" t="s">
        <v>251</v>
      </c>
      <c r="J25" s="37">
        <v>1990.0</v>
      </c>
    </row>
    <row r="26">
      <c r="A26" s="37"/>
      <c r="B26" s="37"/>
      <c r="D26" s="85"/>
      <c r="J26" s="88">
        <f>SUM(J19:J25)</f>
        <v>117160</v>
      </c>
    </row>
    <row r="27">
      <c r="A27" s="89" t="s">
        <v>252</v>
      </c>
      <c r="B27" s="89"/>
      <c r="C27" s="90"/>
      <c r="D27" s="91"/>
      <c r="E27" s="90"/>
    </row>
    <row r="28">
      <c r="A28" s="37" t="s">
        <v>246</v>
      </c>
      <c r="B28" s="37">
        <v>15470.0</v>
      </c>
      <c r="C28" s="92" t="s">
        <v>253</v>
      </c>
      <c r="D28" s="85" t="s">
        <v>219</v>
      </c>
      <c r="E28" s="37" t="s">
        <v>220</v>
      </c>
    </row>
    <row r="29">
      <c r="A29" s="37" t="s">
        <v>254</v>
      </c>
      <c r="B29" s="37">
        <v>8590.0</v>
      </c>
      <c r="C29" s="37" t="s">
        <v>255</v>
      </c>
      <c r="D29" s="85" t="s">
        <v>219</v>
      </c>
      <c r="E29" s="37" t="s">
        <v>220</v>
      </c>
    </row>
    <row r="30">
      <c r="A30" s="37" t="s">
        <v>256</v>
      </c>
      <c r="B30" s="37">
        <v>5990.0</v>
      </c>
      <c r="C30" s="37" t="s">
        <v>257</v>
      </c>
      <c r="D30" s="85" t="s">
        <v>219</v>
      </c>
      <c r="E30" s="37" t="s">
        <v>220</v>
      </c>
    </row>
    <row r="31">
      <c r="A31" s="37" t="s">
        <v>258</v>
      </c>
      <c r="B31" s="37">
        <v>5990.0</v>
      </c>
      <c r="C31" s="37" t="s">
        <v>257</v>
      </c>
      <c r="D31" s="85" t="s">
        <v>219</v>
      </c>
      <c r="E31" s="37" t="s">
        <v>220</v>
      </c>
    </row>
    <row r="32">
      <c r="A32" s="37" t="s">
        <v>221</v>
      </c>
      <c r="B32" s="37" t="s">
        <v>259</v>
      </c>
      <c r="C32" s="37" t="s">
        <v>260</v>
      </c>
      <c r="D32" s="93" t="s">
        <v>261</v>
      </c>
      <c r="E32" s="86" t="s">
        <v>262</v>
      </c>
    </row>
    <row r="33">
      <c r="A33" s="37" t="s">
        <v>263</v>
      </c>
      <c r="B33" s="37">
        <v>15000.0</v>
      </c>
      <c r="C33" s="37" t="s">
        <v>264</v>
      </c>
      <c r="D33" s="93" t="s">
        <v>261</v>
      </c>
      <c r="E33" s="86" t="s">
        <v>265</v>
      </c>
    </row>
    <row r="34">
      <c r="A34" s="37" t="s">
        <v>218</v>
      </c>
      <c r="B34" s="37">
        <v>5990.0</v>
      </c>
      <c r="C34" s="37" t="s">
        <v>266</v>
      </c>
      <c r="D34" s="85" t="s">
        <v>219</v>
      </c>
      <c r="E34" s="37" t="s">
        <v>220</v>
      </c>
    </row>
    <row r="35">
      <c r="A35" s="37" t="s">
        <v>267</v>
      </c>
      <c r="B35" s="37">
        <v>22970.0</v>
      </c>
      <c r="C35" s="94" t="s">
        <v>268</v>
      </c>
      <c r="D35" s="85" t="s">
        <v>219</v>
      </c>
      <c r="E35" s="37" t="s">
        <v>232</v>
      </c>
    </row>
    <row r="36">
      <c r="A36" s="37" t="s">
        <v>269</v>
      </c>
      <c r="B36" s="37">
        <v>25000.0</v>
      </c>
      <c r="C36" s="37" t="s">
        <v>270</v>
      </c>
      <c r="D36" s="85" t="s">
        <v>219</v>
      </c>
      <c r="E36" s="37" t="s">
        <v>220</v>
      </c>
    </row>
    <row r="37">
      <c r="A37" s="37" t="s">
        <v>271</v>
      </c>
      <c r="B37" s="37">
        <v>45290.0</v>
      </c>
      <c r="C37" s="94" t="s">
        <v>272</v>
      </c>
      <c r="D37" s="85" t="s">
        <v>219</v>
      </c>
      <c r="E37" s="37" t="s">
        <v>220</v>
      </c>
    </row>
    <row r="38">
      <c r="A38" s="37" t="s">
        <v>254</v>
      </c>
      <c r="B38" s="37">
        <v>5290.0</v>
      </c>
      <c r="C38" s="37" t="s">
        <v>273</v>
      </c>
      <c r="D38" s="85" t="s">
        <v>219</v>
      </c>
      <c r="E38" s="37" t="s">
        <v>220</v>
      </c>
    </row>
    <row r="39">
      <c r="A39" s="37" t="s">
        <v>249</v>
      </c>
      <c r="B39" s="37">
        <v>5290.0</v>
      </c>
      <c r="C39" s="37" t="s">
        <v>274</v>
      </c>
      <c r="D39" s="93" t="s">
        <v>261</v>
      </c>
      <c r="E39" s="95"/>
    </row>
    <row r="40">
      <c r="A40" s="37" t="s">
        <v>275</v>
      </c>
      <c r="B40" s="37">
        <v>25000.0</v>
      </c>
      <c r="C40" s="37" t="s">
        <v>276</v>
      </c>
      <c r="D40" s="93" t="s">
        <v>261</v>
      </c>
      <c r="E40" s="95"/>
    </row>
    <row r="41">
      <c r="A41" s="37" t="s">
        <v>277</v>
      </c>
      <c r="B41" s="37">
        <v>23170.0</v>
      </c>
      <c r="C41" s="94" t="s">
        <v>278</v>
      </c>
      <c r="D41" s="85" t="s">
        <v>219</v>
      </c>
      <c r="E41" s="37" t="s">
        <v>232</v>
      </c>
    </row>
    <row r="42">
      <c r="A42" s="37" t="s">
        <v>243</v>
      </c>
      <c r="B42" s="37">
        <v>9570.0</v>
      </c>
      <c r="C42" s="37" t="s">
        <v>279</v>
      </c>
      <c r="D42" s="85" t="s">
        <v>219</v>
      </c>
      <c r="E42" s="37" t="s">
        <v>232</v>
      </c>
    </row>
    <row r="43">
      <c r="A43" s="37" t="s">
        <v>251</v>
      </c>
      <c r="B43" s="37">
        <v>1990.0</v>
      </c>
      <c r="C43" s="37" t="s">
        <v>280</v>
      </c>
      <c r="D43" s="85" t="s">
        <v>219</v>
      </c>
      <c r="E43" s="86" t="s">
        <v>281</v>
      </c>
    </row>
    <row r="44">
      <c r="A44" s="37" t="s">
        <v>282</v>
      </c>
      <c r="B44" s="37">
        <v>22860.0</v>
      </c>
      <c r="C44" s="94" t="s">
        <v>283</v>
      </c>
      <c r="D44" s="85" t="s">
        <v>219</v>
      </c>
      <c r="E44" s="37" t="s">
        <v>232</v>
      </c>
    </row>
    <row r="45">
      <c r="A45" s="37" t="s">
        <v>284</v>
      </c>
      <c r="B45" s="37">
        <v>5990.0</v>
      </c>
      <c r="C45" s="37" t="s">
        <v>285</v>
      </c>
      <c r="D45" s="85" t="s">
        <v>219</v>
      </c>
      <c r="E45" s="37" t="s">
        <v>220</v>
      </c>
    </row>
    <row r="46">
      <c r="A46" s="37" t="s">
        <v>218</v>
      </c>
      <c r="B46" s="37">
        <v>13520.0</v>
      </c>
      <c r="C46" s="37" t="s">
        <v>286</v>
      </c>
      <c r="D46" s="85" t="s">
        <v>219</v>
      </c>
      <c r="E46" s="37" t="s">
        <v>220</v>
      </c>
    </row>
    <row r="47">
      <c r="A47" s="37" t="s">
        <v>287</v>
      </c>
      <c r="B47" s="37">
        <v>15000.0</v>
      </c>
      <c r="C47" s="37" t="s">
        <v>288</v>
      </c>
      <c r="D47" s="85" t="s">
        <v>219</v>
      </c>
      <c r="E47" s="37" t="s">
        <v>220</v>
      </c>
    </row>
    <row r="48">
      <c r="A48" s="37" t="s">
        <v>289</v>
      </c>
      <c r="B48" s="37">
        <v>25000.0</v>
      </c>
      <c r="C48" s="37" t="s">
        <v>276</v>
      </c>
      <c r="D48" s="85" t="s">
        <v>219</v>
      </c>
      <c r="E48" s="37" t="s">
        <v>220</v>
      </c>
    </row>
    <row r="49">
      <c r="A49" s="37" t="s">
        <v>227</v>
      </c>
      <c r="B49" s="37">
        <v>25000.0</v>
      </c>
      <c r="C49" s="37" t="s">
        <v>276</v>
      </c>
      <c r="D49" s="85" t="s">
        <v>219</v>
      </c>
      <c r="E49" s="37" t="s">
        <v>220</v>
      </c>
    </row>
    <row r="50">
      <c r="A50" s="37" t="s">
        <v>227</v>
      </c>
      <c r="B50" s="37">
        <v>25000.0</v>
      </c>
      <c r="C50" s="37" t="s">
        <v>276</v>
      </c>
      <c r="D50" s="85" t="s">
        <v>219</v>
      </c>
      <c r="E50" s="37" t="s">
        <v>220</v>
      </c>
    </row>
    <row r="51">
      <c r="D51" s="96"/>
    </row>
    <row r="52">
      <c r="D52" s="96"/>
    </row>
    <row r="53">
      <c r="D53" s="96"/>
    </row>
    <row r="54">
      <c r="D54" s="96"/>
    </row>
    <row r="55">
      <c r="D55" s="96"/>
    </row>
    <row r="56">
      <c r="D56" s="96"/>
    </row>
    <row r="57">
      <c r="D57" s="96"/>
    </row>
    <row r="58">
      <c r="D58" s="96"/>
    </row>
    <row r="59">
      <c r="D59" s="96"/>
    </row>
    <row r="60">
      <c r="D60" s="96"/>
    </row>
    <row r="61">
      <c r="D61" s="96"/>
    </row>
    <row r="62">
      <c r="D62" s="96"/>
    </row>
    <row r="63">
      <c r="D63" s="96"/>
    </row>
    <row r="64">
      <c r="D64" s="96"/>
    </row>
    <row r="65">
      <c r="D65" s="96"/>
    </row>
    <row r="66">
      <c r="D66" s="96"/>
    </row>
    <row r="67">
      <c r="D67" s="96"/>
    </row>
    <row r="68">
      <c r="D68" s="96"/>
    </row>
    <row r="69">
      <c r="D69" s="96"/>
    </row>
    <row r="70">
      <c r="D70" s="96"/>
    </row>
    <row r="71">
      <c r="D71" s="96"/>
    </row>
    <row r="72">
      <c r="D72" s="96"/>
    </row>
    <row r="73">
      <c r="D73" s="96"/>
    </row>
    <row r="74">
      <c r="D74" s="96"/>
    </row>
    <row r="75">
      <c r="D75" s="96"/>
    </row>
    <row r="76">
      <c r="D76" s="96"/>
    </row>
    <row r="77">
      <c r="D77" s="96"/>
    </row>
    <row r="78">
      <c r="D78" s="96"/>
    </row>
    <row r="79">
      <c r="D79" s="96"/>
    </row>
    <row r="80">
      <c r="D80" s="96"/>
    </row>
    <row r="81">
      <c r="D81" s="96"/>
    </row>
    <row r="82">
      <c r="D82" s="96"/>
    </row>
    <row r="83">
      <c r="D83" s="96"/>
    </row>
    <row r="84">
      <c r="D84" s="96"/>
    </row>
    <row r="85">
      <c r="D85" s="96"/>
    </row>
    <row r="86">
      <c r="D86" s="96"/>
    </row>
    <row r="87">
      <c r="D87" s="96"/>
    </row>
    <row r="88">
      <c r="D88" s="96"/>
    </row>
    <row r="89">
      <c r="D89" s="96"/>
    </row>
    <row r="90">
      <c r="D90" s="96"/>
    </row>
    <row r="91">
      <c r="D91" s="96"/>
    </row>
    <row r="92">
      <c r="D92" s="96"/>
    </row>
    <row r="93">
      <c r="D93" s="96"/>
    </row>
    <row r="94">
      <c r="D94" s="96"/>
    </row>
    <row r="95">
      <c r="D95" s="96"/>
    </row>
    <row r="96">
      <c r="D96" s="96"/>
    </row>
    <row r="97">
      <c r="D97" s="96"/>
    </row>
    <row r="98">
      <c r="D98" s="96"/>
    </row>
    <row r="99">
      <c r="D99" s="96"/>
    </row>
    <row r="100">
      <c r="D100" s="96"/>
    </row>
    <row r="101">
      <c r="D101" s="96"/>
    </row>
    <row r="102">
      <c r="D102" s="96"/>
    </row>
    <row r="103">
      <c r="D103" s="96"/>
    </row>
    <row r="104">
      <c r="D104" s="96"/>
    </row>
    <row r="105">
      <c r="D105" s="96"/>
    </row>
    <row r="106">
      <c r="D106" s="96"/>
    </row>
    <row r="107">
      <c r="D107" s="96"/>
    </row>
    <row r="108">
      <c r="D108" s="96"/>
    </row>
    <row r="109">
      <c r="D109" s="96"/>
    </row>
    <row r="110">
      <c r="D110" s="96"/>
    </row>
    <row r="111">
      <c r="D111" s="96"/>
    </row>
    <row r="112">
      <c r="D112" s="96"/>
    </row>
    <row r="113">
      <c r="D113" s="96"/>
    </row>
    <row r="114">
      <c r="D114" s="96"/>
    </row>
    <row r="115">
      <c r="D115" s="96"/>
    </row>
    <row r="116">
      <c r="D116" s="96"/>
    </row>
    <row r="117">
      <c r="D117" s="96"/>
    </row>
    <row r="118">
      <c r="D118" s="96"/>
    </row>
    <row r="119">
      <c r="D119" s="96"/>
    </row>
    <row r="120">
      <c r="D120" s="96"/>
    </row>
    <row r="121">
      <c r="D121" s="96"/>
    </row>
    <row r="122">
      <c r="D122" s="96"/>
    </row>
    <row r="123">
      <c r="D123" s="96"/>
    </row>
    <row r="124">
      <c r="D124" s="96"/>
    </row>
    <row r="125">
      <c r="D125" s="96"/>
    </row>
    <row r="126">
      <c r="D126" s="96"/>
    </row>
    <row r="127">
      <c r="D127" s="96"/>
    </row>
    <row r="128">
      <c r="D128" s="96"/>
    </row>
    <row r="129">
      <c r="D129" s="96"/>
    </row>
    <row r="130">
      <c r="D130" s="96"/>
    </row>
    <row r="131">
      <c r="D131" s="96"/>
    </row>
    <row r="132">
      <c r="D132" s="96"/>
    </row>
    <row r="133">
      <c r="D133" s="96"/>
    </row>
    <row r="134">
      <c r="D134" s="96"/>
    </row>
    <row r="135">
      <c r="D135" s="96"/>
    </row>
    <row r="136">
      <c r="D136" s="96"/>
    </row>
    <row r="137">
      <c r="D137" s="96"/>
    </row>
    <row r="138">
      <c r="D138" s="96"/>
    </row>
    <row r="139">
      <c r="D139" s="96"/>
    </row>
    <row r="140">
      <c r="D140" s="96"/>
    </row>
    <row r="141">
      <c r="D141" s="96"/>
    </row>
    <row r="142">
      <c r="D142" s="96"/>
    </row>
    <row r="143">
      <c r="D143" s="96"/>
    </row>
    <row r="144">
      <c r="D144" s="96"/>
    </row>
    <row r="145">
      <c r="D145" s="96"/>
    </row>
    <row r="146">
      <c r="D146" s="96"/>
    </row>
    <row r="147">
      <c r="D147" s="96"/>
    </row>
    <row r="148">
      <c r="D148" s="96"/>
    </row>
    <row r="149">
      <c r="D149" s="96"/>
    </row>
    <row r="150">
      <c r="D150" s="96"/>
    </row>
    <row r="151">
      <c r="D151" s="96"/>
    </row>
    <row r="152">
      <c r="D152" s="96"/>
    </row>
    <row r="153">
      <c r="D153" s="96"/>
    </row>
    <row r="154">
      <c r="D154" s="96"/>
    </row>
    <row r="155">
      <c r="D155" s="96"/>
    </row>
    <row r="156">
      <c r="D156" s="96"/>
    </row>
    <row r="157">
      <c r="D157" s="96"/>
    </row>
    <row r="158">
      <c r="D158" s="96"/>
    </row>
    <row r="159">
      <c r="D159" s="96"/>
    </row>
    <row r="160">
      <c r="D160" s="96"/>
    </row>
    <row r="161">
      <c r="D161" s="96"/>
    </row>
    <row r="162">
      <c r="D162" s="96"/>
    </row>
    <row r="163">
      <c r="D163" s="96"/>
    </row>
    <row r="164">
      <c r="D164" s="96"/>
    </row>
    <row r="165">
      <c r="D165" s="96"/>
    </row>
    <row r="166">
      <c r="D166" s="96"/>
    </row>
    <row r="167">
      <c r="D167" s="96"/>
    </row>
    <row r="168">
      <c r="D168" s="96"/>
    </row>
    <row r="169">
      <c r="D169" s="96"/>
    </row>
    <row r="170">
      <c r="D170" s="96"/>
    </row>
    <row r="171">
      <c r="D171" s="96"/>
    </row>
    <row r="172">
      <c r="D172" s="96"/>
    </row>
    <row r="173">
      <c r="D173" s="96"/>
    </row>
    <row r="174">
      <c r="D174" s="96"/>
    </row>
    <row r="175">
      <c r="D175" s="96"/>
    </row>
    <row r="176">
      <c r="D176" s="96"/>
    </row>
    <row r="177">
      <c r="D177" s="96"/>
    </row>
    <row r="178">
      <c r="D178" s="96"/>
    </row>
    <row r="179">
      <c r="D179" s="96"/>
    </row>
    <row r="180">
      <c r="D180" s="96"/>
    </row>
    <row r="181">
      <c r="D181" s="96"/>
    </row>
    <row r="182">
      <c r="D182" s="96"/>
    </row>
    <row r="183">
      <c r="D183" s="96"/>
    </row>
    <row r="184">
      <c r="D184" s="96"/>
    </row>
    <row r="185">
      <c r="D185" s="96"/>
    </row>
    <row r="186">
      <c r="D186" s="96"/>
    </row>
    <row r="187">
      <c r="D187" s="96"/>
    </row>
    <row r="188">
      <c r="D188" s="96"/>
    </row>
    <row r="189">
      <c r="D189" s="96"/>
    </row>
    <row r="190">
      <c r="D190" s="96"/>
    </row>
    <row r="191">
      <c r="D191" s="96"/>
    </row>
    <row r="192">
      <c r="D192" s="96"/>
    </row>
    <row r="193">
      <c r="D193" s="96"/>
    </row>
    <row r="194">
      <c r="D194" s="96"/>
    </row>
    <row r="195">
      <c r="D195" s="96"/>
    </row>
    <row r="196">
      <c r="D196" s="96"/>
    </row>
    <row r="197">
      <c r="D197" s="96"/>
    </row>
    <row r="198">
      <c r="D198" s="96"/>
    </row>
    <row r="199">
      <c r="D199" s="96"/>
    </row>
    <row r="200">
      <c r="D200" s="96"/>
    </row>
    <row r="201">
      <c r="D201" s="96"/>
    </row>
    <row r="202">
      <c r="D202" s="96"/>
    </row>
    <row r="203">
      <c r="D203" s="96"/>
    </row>
    <row r="204">
      <c r="D204" s="96"/>
    </row>
    <row r="205">
      <c r="D205" s="96"/>
    </row>
    <row r="206">
      <c r="D206" s="96"/>
    </row>
    <row r="207">
      <c r="D207" s="96"/>
    </row>
    <row r="208">
      <c r="D208" s="96"/>
    </row>
    <row r="209">
      <c r="D209" s="96"/>
    </row>
    <row r="210">
      <c r="D210" s="96"/>
    </row>
    <row r="211">
      <c r="D211" s="96"/>
    </row>
    <row r="212">
      <c r="D212" s="96"/>
    </row>
    <row r="213">
      <c r="D213" s="96"/>
    </row>
    <row r="214">
      <c r="D214" s="96"/>
    </row>
    <row r="215">
      <c r="D215" s="96"/>
    </row>
    <row r="216">
      <c r="D216" s="96"/>
    </row>
    <row r="217">
      <c r="D217" s="96"/>
    </row>
    <row r="218">
      <c r="D218" s="96"/>
    </row>
    <row r="219">
      <c r="D219" s="96"/>
    </row>
    <row r="220">
      <c r="D220" s="96"/>
    </row>
    <row r="221">
      <c r="D221" s="96"/>
    </row>
    <row r="222">
      <c r="D222" s="96"/>
    </row>
    <row r="223">
      <c r="D223" s="96"/>
    </row>
    <row r="224">
      <c r="D224" s="96"/>
    </row>
    <row r="225">
      <c r="D225" s="96"/>
    </row>
    <row r="226">
      <c r="D226" s="96"/>
    </row>
    <row r="227">
      <c r="D227" s="96"/>
    </row>
    <row r="228">
      <c r="D228" s="96"/>
    </row>
    <row r="229">
      <c r="D229" s="96"/>
    </row>
    <row r="230">
      <c r="D230" s="96"/>
    </row>
    <row r="231">
      <c r="D231" s="96"/>
    </row>
    <row r="232">
      <c r="D232" s="96"/>
    </row>
    <row r="233">
      <c r="D233" s="96"/>
    </row>
    <row r="234">
      <c r="D234" s="96"/>
    </row>
    <row r="235">
      <c r="D235" s="96"/>
    </row>
    <row r="236">
      <c r="D236" s="96"/>
    </row>
    <row r="237">
      <c r="D237" s="96"/>
    </row>
    <row r="238">
      <c r="D238" s="96"/>
    </row>
    <row r="239">
      <c r="D239" s="96"/>
    </row>
    <row r="240">
      <c r="D240" s="96"/>
    </row>
    <row r="241">
      <c r="D241" s="96"/>
    </row>
    <row r="242">
      <c r="D242" s="96"/>
    </row>
    <row r="243">
      <c r="D243" s="96"/>
    </row>
    <row r="244">
      <c r="D244" s="96"/>
    </row>
    <row r="245">
      <c r="D245" s="96"/>
    </row>
    <row r="246">
      <c r="D246" s="96"/>
    </row>
    <row r="247">
      <c r="D247" s="96"/>
    </row>
    <row r="248">
      <c r="D248" s="96"/>
    </row>
    <row r="249">
      <c r="D249" s="96"/>
    </row>
    <row r="250">
      <c r="D250" s="96"/>
    </row>
    <row r="251">
      <c r="D251" s="96"/>
    </row>
    <row r="252">
      <c r="D252" s="96"/>
    </row>
    <row r="253">
      <c r="D253" s="96"/>
    </row>
    <row r="254">
      <c r="D254" s="96"/>
    </row>
    <row r="255">
      <c r="D255" s="96"/>
    </row>
    <row r="256">
      <c r="D256" s="96"/>
    </row>
    <row r="257">
      <c r="D257" s="96"/>
    </row>
    <row r="258">
      <c r="D258" s="96"/>
    </row>
    <row r="259">
      <c r="D259" s="96"/>
    </row>
    <row r="260">
      <c r="D260" s="96"/>
    </row>
    <row r="261">
      <c r="D261" s="96"/>
    </row>
    <row r="262">
      <c r="D262" s="96"/>
    </row>
    <row r="263">
      <c r="D263" s="96"/>
    </row>
    <row r="264">
      <c r="D264" s="96"/>
    </row>
    <row r="265">
      <c r="D265" s="96"/>
    </row>
    <row r="266">
      <c r="D266" s="96"/>
    </row>
    <row r="267">
      <c r="D267" s="96"/>
    </row>
    <row r="268">
      <c r="D268" s="96"/>
    </row>
    <row r="269">
      <c r="D269" s="96"/>
    </row>
    <row r="270">
      <c r="D270" s="96"/>
    </row>
    <row r="271">
      <c r="D271" s="96"/>
    </row>
    <row r="272">
      <c r="D272" s="96"/>
    </row>
    <row r="273">
      <c r="D273" s="96"/>
    </row>
    <row r="274">
      <c r="D274" s="96"/>
    </row>
    <row r="275">
      <c r="D275" s="96"/>
    </row>
    <row r="276">
      <c r="D276" s="96"/>
    </row>
    <row r="277">
      <c r="D277" s="96"/>
    </row>
    <row r="278">
      <c r="D278" s="96"/>
    </row>
    <row r="279">
      <c r="D279" s="96"/>
    </row>
    <row r="280">
      <c r="D280" s="96"/>
    </row>
    <row r="281">
      <c r="D281" s="96"/>
    </row>
    <row r="282">
      <c r="D282" s="96"/>
    </row>
    <row r="283">
      <c r="D283" s="96"/>
    </row>
    <row r="284">
      <c r="D284" s="96"/>
    </row>
    <row r="285">
      <c r="D285" s="96"/>
    </row>
    <row r="286">
      <c r="D286" s="96"/>
    </row>
    <row r="287">
      <c r="D287" s="96"/>
    </row>
    <row r="288">
      <c r="D288" s="96"/>
    </row>
    <row r="289">
      <c r="D289" s="96"/>
    </row>
    <row r="290">
      <c r="D290" s="96"/>
    </row>
    <row r="291">
      <c r="D291" s="96"/>
    </row>
    <row r="292">
      <c r="D292" s="96"/>
    </row>
    <row r="293">
      <c r="D293" s="96"/>
    </row>
    <row r="294">
      <c r="D294" s="96"/>
    </row>
    <row r="295">
      <c r="D295" s="96"/>
    </row>
    <row r="296">
      <c r="D296" s="96"/>
    </row>
    <row r="297">
      <c r="D297" s="96"/>
    </row>
    <row r="298">
      <c r="D298" s="96"/>
    </row>
    <row r="299">
      <c r="D299" s="96"/>
    </row>
    <row r="300">
      <c r="D300" s="96"/>
    </row>
    <row r="301">
      <c r="D301" s="96"/>
    </row>
    <row r="302">
      <c r="D302" s="96"/>
    </row>
    <row r="303">
      <c r="D303" s="96"/>
    </row>
    <row r="304">
      <c r="D304" s="96"/>
    </row>
    <row r="305">
      <c r="D305" s="96"/>
    </row>
    <row r="306">
      <c r="D306" s="96"/>
    </row>
    <row r="307">
      <c r="D307" s="96"/>
    </row>
    <row r="308">
      <c r="D308" s="96"/>
    </row>
    <row r="309">
      <c r="D309" s="96"/>
    </row>
    <row r="310">
      <c r="D310" s="96"/>
    </row>
    <row r="311">
      <c r="D311" s="96"/>
    </row>
    <row r="312">
      <c r="D312" s="96"/>
    </row>
    <row r="313">
      <c r="D313" s="96"/>
    </row>
    <row r="314">
      <c r="D314" s="96"/>
    </row>
    <row r="315">
      <c r="D315" s="96"/>
    </row>
    <row r="316">
      <c r="D316" s="96"/>
    </row>
    <row r="317">
      <c r="D317" s="96"/>
    </row>
    <row r="318">
      <c r="D318" s="96"/>
    </row>
    <row r="319">
      <c r="D319" s="96"/>
    </row>
    <row r="320">
      <c r="D320" s="96"/>
    </row>
    <row r="321">
      <c r="D321" s="96"/>
    </row>
    <row r="322">
      <c r="D322" s="96"/>
    </row>
    <row r="323">
      <c r="D323" s="96"/>
    </row>
    <row r="324">
      <c r="D324" s="96"/>
    </row>
    <row r="325">
      <c r="D325" s="96"/>
    </row>
    <row r="326">
      <c r="D326" s="96"/>
    </row>
    <row r="327">
      <c r="D327" s="96"/>
    </row>
    <row r="328">
      <c r="D328" s="96"/>
    </row>
    <row r="329">
      <c r="D329" s="96"/>
    </row>
    <row r="330">
      <c r="D330" s="96"/>
    </row>
    <row r="331">
      <c r="D331" s="96"/>
    </row>
    <row r="332">
      <c r="D332" s="96"/>
    </row>
    <row r="333">
      <c r="D333" s="96"/>
    </row>
    <row r="334">
      <c r="D334" s="96"/>
    </row>
    <row r="335">
      <c r="D335" s="96"/>
    </row>
    <row r="336">
      <c r="D336" s="96"/>
    </row>
    <row r="337">
      <c r="D337" s="96"/>
    </row>
    <row r="338">
      <c r="D338" s="96"/>
    </row>
    <row r="339">
      <c r="D339" s="96"/>
    </row>
    <row r="340">
      <c r="D340" s="96"/>
    </row>
    <row r="341">
      <c r="D341" s="96"/>
    </row>
    <row r="342">
      <c r="D342" s="96"/>
    </row>
    <row r="343">
      <c r="D343" s="96"/>
    </row>
    <row r="344">
      <c r="D344" s="96"/>
    </row>
    <row r="345">
      <c r="D345" s="96"/>
    </row>
    <row r="346">
      <c r="D346" s="96"/>
    </row>
    <row r="347">
      <c r="D347" s="96"/>
    </row>
    <row r="348">
      <c r="D348" s="96"/>
    </row>
    <row r="349">
      <c r="D349" s="96"/>
    </row>
    <row r="350">
      <c r="D350" s="96"/>
    </row>
    <row r="351">
      <c r="D351" s="96"/>
    </row>
    <row r="352">
      <c r="D352" s="96"/>
    </row>
    <row r="353">
      <c r="D353" s="96"/>
    </row>
    <row r="354">
      <c r="D354" s="96"/>
    </row>
    <row r="355">
      <c r="D355" s="96"/>
    </row>
    <row r="356">
      <c r="D356" s="96"/>
    </row>
    <row r="357">
      <c r="D357" s="96"/>
    </row>
    <row r="358">
      <c r="D358" s="96"/>
    </row>
    <row r="359">
      <c r="D359" s="96"/>
    </row>
    <row r="360">
      <c r="D360" s="96"/>
    </row>
    <row r="361">
      <c r="D361" s="96"/>
    </row>
    <row r="362">
      <c r="D362" s="96"/>
    </row>
    <row r="363">
      <c r="D363" s="96"/>
    </row>
    <row r="364">
      <c r="D364" s="96"/>
    </row>
    <row r="365">
      <c r="D365" s="96"/>
    </row>
    <row r="366">
      <c r="D366" s="96"/>
    </row>
    <row r="367">
      <c r="D367" s="96"/>
    </row>
    <row r="368">
      <c r="D368" s="96"/>
    </row>
    <row r="369">
      <c r="D369" s="96"/>
    </row>
    <row r="370">
      <c r="D370" s="96"/>
    </row>
    <row r="371">
      <c r="D371" s="96"/>
    </row>
    <row r="372">
      <c r="D372" s="96"/>
    </row>
    <row r="373">
      <c r="D373" s="96"/>
    </row>
    <row r="374">
      <c r="D374" s="96"/>
    </row>
    <row r="375">
      <c r="D375" s="96"/>
    </row>
    <row r="376">
      <c r="D376" s="96"/>
    </row>
    <row r="377">
      <c r="D377" s="96"/>
    </row>
    <row r="378">
      <c r="D378" s="96"/>
    </row>
    <row r="379">
      <c r="D379" s="96"/>
    </row>
    <row r="380">
      <c r="D380" s="96"/>
    </row>
    <row r="381">
      <c r="D381" s="96"/>
    </row>
    <row r="382">
      <c r="D382" s="96"/>
    </row>
    <row r="383">
      <c r="D383" s="96"/>
    </row>
    <row r="384">
      <c r="D384" s="96"/>
    </row>
    <row r="385">
      <c r="D385" s="96"/>
    </row>
    <row r="386">
      <c r="D386" s="96"/>
    </row>
    <row r="387">
      <c r="D387" s="96"/>
    </row>
    <row r="388">
      <c r="D388" s="96"/>
    </row>
    <row r="389">
      <c r="D389" s="96"/>
    </row>
    <row r="390">
      <c r="D390" s="96"/>
    </row>
    <row r="391">
      <c r="D391" s="96"/>
    </row>
    <row r="392">
      <c r="D392" s="96"/>
    </row>
    <row r="393">
      <c r="D393" s="96"/>
    </row>
    <row r="394">
      <c r="D394" s="96"/>
    </row>
    <row r="395">
      <c r="D395" s="96"/>
    </row>
    <row r="396">
      <c r="D396" s="96"/>
    </row>
    <row r="397">
      <c r="D397" s="96"/>
    </row>
    <row r="398">
      <c r="D398" s="96"/>
    </row>
    <row r="399">
      <c r="D399" s="96"/>
    </row>
    <row r="400">
      <c r="D400" s="96"/>
    </row>
    <row r="401">
      <c r="D401" s="96"/>
    </row>
    <row r="402">
      <c r="D402" s="96"/>
    </row>
    <row r="403">
      <c r="D403" s="96"/>
    </row>
    <row r="404">
      <c r="D404" s="96"/>
    </row>
    <row r="405">
      <c r="D405" s="96"/>
    </row>
    <row r="406">
      <c r="D406" s="96"/>
    </row>
    <row r="407">
      <c r="D407" s="96"/>
    </row>
    <row r="408">
      <c r="D408" s="96"/>
    </row>
    <row r="409">
      <c r="D409" s="96"/>
    </row>
    <row r="410">
      <c r="D410" s="96"/>
    </row>
    <row r="411">
      <c r="D411" s="96"/>
    </row>
    <row r="412">
      <c r="D412" s="96"/>
    </row>
    <row r="413">
      <c r="D413" s="96"/>
    </row>
    <row r="414">
      <c r="D414" s="96"/>
    </row>
    <row r="415">
      <c r="D415" s="96"/>
    </row>
    <row r="416">
      <c r="D416" s="96"/>
    </row>
    <row r="417">
      <c r="D417" s="96"/>
    </row>
    <row r="418">
      <c r="D418" s="96"/>
    </row>
    <row r="419">
      <c r="D419" s="96"/>
    </row>
    <row r="420">
      <c r="D420" s="96"/>
    </row>
    <row r="421">
      <c r="D421" s="96"/>
    </row>
    <row r="422">
      <c r="D422" s="96"/>
    </row>
    <row r="423">
      <c r="D423" s="96"/>
    </row>
    <row r="424">
      <c r="D424" s="96"/>
    </row>
    <row r="425">
      <c r="D425" s="96"/>
    </row>
    <row r="426">
      <c r="D426" s="96"/>
    </row>
    <row r="427">
      <c r="D427" s="96"/>
    </row>
    <row r="428">
      <c r="D428" s="96"/>
    </row>
    <row r="429">
      <c r="D429" s="96"/>
    </row>
    <row r="430">
      <c r="D430" s="96"/>
    </row>
    <row r="431">
      <c r="D431" s="96"/>
    </row>
    <row r="432">
      <c r="D432" s="96"/>
    </row>
    <row r="433">
      <c r="D433" s="96"/>
    </row>
    <row r="434">
      <c r="D434" s="96"/>
    </row>
    <row r="435">
      <c r="D435" s="96"/>
    </row>
    <row r="436">
      <c r="D436" s="96"/>
    </row>
    <row r="437">
      <c r="D437" s="96"/>
    </row>
    <row r="438">
      <c r="D438" s="96"/>
    </row>
    <row r="439">
      <c r="D439" s="96"/>
    </row>
    <row r="440">
      <c r="D440" s="96"/>
    </row>
    <row r="441">
      <c r="D441" s="96"/>
    </row>
    <row r="442">
      <c r="D442" s="96"/>
    </row>
    <row r="443">
      <c r="D443" s="96"/>
    </row>
    <row r="444">
      <c r="D444" s="96"/>
    </row>
    <row r="445">
      <c r="D445" s="96"/>
    </row>
    <row r="446">
      <c r="D446" s="96"/>
    </row>
    <row r="447">
      <c r="D447" s="96"/>
    </row>
    <row r="448">
      <c r="D448" s="96"/>
    </row>
    <row r="449">
      <c r="D449" s="96"/>
    </row>
    <row r="450">
      <c r="D450" s="96"/>
    </row>
    <row r="451">
      <c r="D451" s="96"/>
    </row>
    <row r="452">
      <c r="D452" s="96"/>
    </row>
    <row r="453">
      <c r="D453" s="96"/>
    </row>
    <row r="454">
      <c r="D454" s="96"/>
    </row>
    <row r="455">
      <c r="D455" s="96"/>
    </row>
    <row r="456">
      <c r="D456" s="96"/>
    </row>
    <row r="457">
      <c r="D457" s="96"/>
    </row>
    <row r="458">
      <c r="D458" s="96"/>
    </row>
    <row r="459">
      <c r="D459" s="96"/>
    </row>
    <row r="460">
      <c r="D460" s="96"/>
    </row>
    <row r="461">
      <c r="D461" s="96"/>
    </row>
    <row r="462">
      <c r="D462" s="96"/>
    </row>
    <row r="463">
      <c r="D463" s="96"/>
    </row>
    <row r="464">
      <c r="D464" s="96"/>
    </row>
    <row r="465">
      <c r="D465" s="96"/>
    </row>
    <row r="466">
      <c r="D466" s="96"/>
    </row>
    <row r="467">
      <c r="D467" s="96"/>
    </row>
    <row r="468">
      <c r="D468" s="96"/>
    </row>
    <row r="469">
      <c r="D469" s="96"/>
    </row>
    <row r="470">
      <c r="D470" s="96"/>
    </row>
    <row r="471">
      <c r="D471" s="96"/>
    </row>
    <row r="472">
      <c r="D472" s="96"/>
    </row>
    <row r="473">
      <c r="D473" s="96"/>
    </row>
    <row r="474">
      <c r="D474" s="96"/>
    </row>
    <row r="475">
      <c r="D475" s="96"/>
    </row>
    <row r="476">
      <c r="D476" s="96"/>
    </row>
    <row r="477">
      <c r="D477" s="96"/>
    </row>
    <row r="478">
      <c r="D478" s="96"/>
    </row>
    <row r="479">
      <c r="D479" s="96"/>
    </row>
    <row r="480">
      <c r="D480" s="96"/>
    </row>
    <row r="481">
      <c r="D481" s="96"/>
    </row>
    <row r="482">
      <c r="D482" s="96"/>
    </row>
    <row r="483">
      <c r="D483" s="96"/>
    </row>
    <row r="484">
      <c r="D484" s="96"/>
    </row>
    <row r="485">
      <c r="D485" s="96"/>
    </row>
    <row r="486">
      <c r="D486" s="96"/>
    </row>
    <row r="487">
      <c r="D487" s="96"/>
    </row>
    <row r="488">
      <c r="D488" s="96"/>
    </row>
    <row r="489">
      <c r="D489" s="96"/>
    </row>
    <row r="490">
      <c r="D490" s="96"/>
    </row>
    <row r="491">
      <c r="D491" s="96"/>
    </row>
    <row r="492">
      <c r="D492" s="96"/>
    </row>
    <row r="493">
      <c r="D493" s="96"/>
    </row>
    <row r="494">
      <c r="D494" s="96"/>
    </row>
    <row r="495">
      <c r="D495" s="96"/>
    </row>
    <row r="496">
      <c r="D496" s="96"/>
    </row>
    <row r="497">
      <c r="D497" s="96"/>
    </row>
    <row r="498">
      <c r="D498" s="96"/>
    </row>
    <row r="499">
      <c r="D499" s="96"/>
    </row>
    <row r="500">
      <c r="D500" s="96"/>
    </row>
    <row r="501">
      <c r="D501" s="96"/>
    </row>
    <row r="502">
      <c r="D502" s="96"/>
    </row>
    <row r="503">
      <c r="D503" s="96"/>
    </row>
    <row r="504">
      <c r="D504" s="96"/>
    </row>
    <row r="505">
      <c r="D505" s="96"/>
    </row>
    <row r="506">
      <c r="D506" s="96"/>
    </row>
    <row r="507">
      <c r="D507" s="96"/>
    </row>
    <row r="508">
      <c r="D508" s="96"/>
    </row>
    <row r="509">
      <c r="D509" s="96"/>
    </row>
    <row r="510">
      <c r="D510" s="96"/>
    </row>
    <row r="511">
      <c r="D511" s="96"/>
    </row>
    <row r="512">
      <c r="D512" s="96"/>
    </row>
    <row r="513">
      <c r="D513" s="96"/>
    </row>
    <row r="514">
      <c r="D514" s="96"/>
    </row>
    <row r="515">
      <c r="D515" s="96"/>
    </row>
    <row r="516">
      <c r="D516" s="96"/>
    </row>
    <row r="517">
      <c r="D517" s="96"/>
    </row>
    <row r="518">
      <c r="D518" s="96"/>
    </row>
    <row r="519">
      <c r="D519" s="96"/>
    </row>
    <row r="520">
      <c r="D520" s="96"/>
    </row>
    <row r="521">
      <c r="D521" s="96"/>
    </row>
    <row r="522">
      <c r="D522" s="96"/>
    </row>
    <row r="523">
      <c r="D523" s="96"/>
    </row>
    <row r="524">
      <c r="D524" s="96"/>
    </row>
    <row r="525">
      <c r="D525" s="96"/>
    </row>
    <row r="526">
      <c r="D526" s="96"/>
    </row>
    <row r="527">
      <c r="D527" s="96"/>
    </row>
    <row r="528">
      <c r="D528" s="96"/>
    </row>
    <row r="529">
      <c r="D529" s="96"/>
    </row>
    <row r="530">
      <c r="D530" s="96"/>
    </row>
    <row r="531">
      <c r="D531" s="96"/>
    </row>
    <row r="532">
      <c r="D532" s="96"/>
    </row>
    <row r="533">
      <c r="D533" s="96"/>
    </row>
    <row r="534">
      <c r="D534" s="96"/>
    </row>
    <row r="535">
      <c r="D535" s="96"/>
    </row>
    <row r="536">
      <c r="D536" s="96"/>
    </row>
    <row r="537">
      <c r="D537" s="96"/>
    </row>
    <row r="538">
      <c r="D538" s="96"/>
    </row>
    <row r="539">
      <c r="D539" s="96"/>
    </row>
    <row r="540">
      <c r="D540" s="96"/>
    </row>
    <row r="541">
      <c r="D541" s="96"/>
    </row>
    <row r="542">
      <c r="D542" s="96"/>
    </row>
    <row r="543">
      <c r="D543" s="96"/>
    </row>
    <row r="544">
      <c r="D544" s="96"/>
    </row>
    <row r="545">
      <c r="D545" s="96"/>
    </row>
    <row r="546">
      <c r="D546" s="96"/>
    </row>
    <row r="547">
      <c r="D547" s="96"/>
    </row>
    <row r="548">
      <c r="D548" s="96"/>
    </row>
    <row r="549">
      <c r="D549" s="96"/>
    </row>
    <row r="550">
      <c r="D550" s="96"/>
    </row>
    <row r="551">
      <c r="D551" s="96"/>
    </row>
    <row r="552">
      <c r="D552" s="96"/>
    </row>
    <row r="553">
      <c r="D553" s="96"/>
    </row>
    <row r="554">
      <c r="D554" s="96"/>
    </row>
    <row r="555">
      <c r="D555" s="96"/>
    </row>
    <row r="556">
      <c r="D556" s="96"/>
    </row>
    <row r="557">
      <c r="D557" s="96"/>
    </row>
    <row r="558">
      <c r="D558" s="96"/>
    </row>
    <row r="559">
      <c r="D559" s="96"/>
    </row>
    <row r="560">
      <c r="D560" s="96"/>
    </row>
    <row r="561">
      <c r="D561" s="96"/>
    </row>
    <row r="562">
      <c r="D562" s="96"/>
    </row>
    <row r="563">
      <c r="D563" s="96"/>
    </row>
    <row r="564">
      <c r="D564" s="96"/>
    </row>
    <row r="565">
      <c r="D565" s="96"/>
    </row>
    <row r="566">
      <c r="D566" s="96"/>
    </row>
    <row r="567">
      <c r="D567" s="96"/>
    </row>
    <row r="568">
      <c r="D568" s="96"/>
    </row>
    <row r="569">
      <c r="D569" s="96"/>
    </row>
    <row r="570">
      <c r="D570" s="96"/>
    </row>
    <row r="571">
      <c r="D571" s="96"/>
    </row>
    <row r="572">
      <c r="D572" s="96"/>
    </row>
    <row r="573">
      <c r="D573" s="96"/>
    </row>
    <row r="574">
      <c r="D574" s="96"/>
    </row>
    <row r="575">
      <c r="D575" s="96"/>
    </row>
    <row r="576">
      <c r="D576" s="96"/>
    </row>
    <row r="577">
      <c r="D577" s="96"/>
    </row>
    <row r="578">
      <c r="D578" s="96"/>
    </row>
    <row r="579">
      <c r="D579" s="96"/>
    </row>
    <row r="580">
      <c r="D580" s="96"/>
    </row>
    <row r="581">
      <c r="D581" s="96"/>
    </row>
    <row r="582">
      <c r="D582" s="96"/>
    </row>
    <row r="583">
      <c r="D583" s="96"/>
    </row>
    <row r="584">
      <c r="D584" s="96"/>
    </row>
    <row r="585">
      <c r="D585" s="96"/>
    </row>
    <row r="586">
      <c r="D586" s="96"/>
    </row>
    <row r="587">
      <c r="D587" s="96"/>
    </row>
    <row r="588">
      <c r="D588" s="96"/>
    </row>
    <row r="589">
      <c r="D589" s="96"/>
    </row>
    <row r="590">
      <c r="D590" s="96"/>
    </row>
    <row r="591">
      <c r="D591" s="96"/>
    </row>
    <row r="592">
      <c r="D592" s="96"/>
    </row>
    <row r="593">
      <c r="D593" s="96"/>
    </row>
    <row r="594">
      <c r="D594" s="96"/>
    </row>
    <row r="595">
      <c r="D595" s="96"/>
    </row>
    <row r="596">
      <c r="D596" s="96"/>
    </row>
    <row r="597">
      <c r="D597" s="96"/>
    </row>
    <row r="598">
      <c r="D598" s="96"/>
    </row>
    <row r="599">
      <c r="D599" s="96"/>
    </row>
    <row r="600">
      <c r="D600" s="96"/>
    </row>
    <row r="601">
      <c r="D601" s="96"/>
    </row>
    <row r="602">
      <c r="D602" s="96"/>
    </row>
    <row r="603">
      <c r="D603" s="96"/>
    </row>
    <row r="604">
      <c r="D604" s="96"/>
    </row>
    <row r="605">
      <c r="D605" s="96"/>
    </row>
    <row r="606">
      <c r="D606" s="96"/>
    </row>
    <row r="607">
      <c r="D607" s="96"/>
    </row>
    <row r="608">
      <c r="D608" s="96"/>
    </row>
    <row r="609">
      <c r="D609" s="96"/>
    </row>
    <row r="610">
      <c r="D610" s="96"/>
    </row>
    <row r="611">
      <c r="D611" s="96"/>
    </row>
    <row r="612">
      <c r="D612" s="96"/>
    </row>
    <row r="613">
      <c r="D613" s="96"/>
    </row>
    <row r="614">
      <c r="D614" s="96"/>
    </row>
    <row r="615">
      <c r="D615" s="96"/>
    </row>
    <row r="616">
      <c r="D616" s="96"/>
    </row>
    <row r="617">
      <c r="D617" s="96"/>
    </row>
    <row r="618">
      <c r="D618" s="96"/>
    </row>
    <row r="619">
      <c r="D619" s="96"/>
    </row>
    <row r="620">
      <c r="D620" s="96"/>
    </row>
    <row r="621">
      <c r="D621" s="96"/>
    </row>
    <row r="622">
      <c r="D622" s="96"/>
    </row>
    <row r="623">
      <c r="D623" s="96"/>
    </row>
    <row r="624">
      <c r="D624" s="96"/>
    </row>
    <row r="625">
      <c r="D625" s="96"/>
    </row>
    <row r="626">
      <c r="D626" s="96"/>
    </row>
    <row r="627">
      <c r="D627" s="96"/>
    </row>
    <row r="628">
      <c r="D628" s="96"/>
    </row>
    <row r="629">
      <c r="D629" s="96"/>
    </row>
    <row r="630">
      <c r="D630" s="96"/>
    </row>
    <row r="631">
      <c r="D631" s="96"/>
    </row>
    <row r="632">
      <c r="D632" s="96"/>
    </row>
    <row r="633">
      <c r="D633" s="96"/>
    </row>
    <row r="634">
      <c r="D634" s="96"/>
    </row>
    <row r="635">
      <c r="D635" s="96"/>
    </row>
    <row r="636">
      <c r="D636" s="96"/>
    </row>
    <row r="637">
      <c r="D637" s="96"/>
    </row>
    <row r="638">
      <c r="D638" s="96"/>
    </row>
    <row r="639">
      <c r="D639" s="96"/>
    </row>
    <row r="640">
      <c r="D640" s="96"/>
    </row>
    <row r="641">
      <c r="D641" s="96"/>
    </row>
    <row r="642">
      <c r="D642" s="96"/>
    </row>
    <row r="643">
      <c r="D643" s="96"/>
    </row>
    <row r="644">
      <c r="D644" s="96"/>
    </row>
    <row r="645">
      <c r="D645" s="96"/>
    </row>
    <row r="646">
      <c r="D646" s="96"/>
    </row>
    <row r="647">
      <c r="D647" s="96"/>
    </row>
    <row r="648">
      <c r="D648" s="96"/>
    </row>
    <row r="649">
      <c r="D649" s="96"/>
    </row>
    <row r="650">
      <c r="D650" s="96"/>
    </row>
    <row r="651">
      <c r="D651" s="96"/>
    </row>
    <row r="652">
      <c r="D652" s="96"/>
    </row>
    <row r="653">
      <c r="D653" s="96"/>
    </row>
    <row r="654">
      <c r="D654" s="96"/>
    </row>
    <row r="655">
      <c r="D655" s="96"/>
    </row>
    <row r="656">
      <c r="D656" s="96"/>
    </row>
    <row r="657">
      <c r="D657" s="96"/>
    </row>
    <row r="658">
      <c r="D658" s="96"/>
    </row>
    <row r="659">
      <c r="D659" s="96"/>
    </row>
    <row r="660">
      <c r="D660" s="96"/>
    </row>
    <row r="661">
      <c r="D661" s="96"/>
    </row>
    <row r="662">
      <c r="D662" s="96"/>
    </row>
    <row r="663">
      <c r="D663" s="96"/>
    </row>
    <row r="664">
      <c r="D664" s="96"/>
    </row>
    <row r="665">
      <c r="D665" s="96"/>
    </row>
    <row r="666">
      <c r="D666" s="96"/>
    </row>
    <row r="667">
      <c r="D667" s="96"/>
    </row>
    <row r="668">
      <c r="D668" s="96"/>
    </row>
    <row r="669">
      <c r="D669" s="96"/>
    </row>
    <row r="670">
      <c r="D670" s="96"/>
    </row>
    <row r="671">
      <c r="D671" s="96"/>
    </row>
    <row r="672">
      <c r="D672" s="96"/>
    </row>
    <row r="673">
      <c r="D673" s="96"/>
    </row>
    <row r="674">
      <c r="D674" s="96"/>
    </row>
    <row r="675">
      <c r="D675" s="96"/>
    </row>
    <row r="676">
      <c r="D676" s="96"/>
    </row>
    <row r="677">
      <c r="D677" s="96"/>
    </row>
    <row r="678">
      <c r="D678" s="96"/>
    </row>
    <row r="679">
      <c r="D679" s="96"/>
    </row>
    <row r="680">
      <c r="D680" s="96"/>
    </row>
    <row r="681">
      <c r="D681" s="96"/>
    </row>
    <row r="682">
      <c r="D682" s="96"/>
    </row>
    <row r="683">
      <c r="D683" s="96"/>
    </row>
    <row r="684">
      <c r="D684" s="96"/>
    </row>
    <row r="685">
      <c r="D685" s="96"/>
    </row>
    <row r="686">
      <c r="D686" s="96"/>
    </row>
    <row r="687">
      <c r="D687" s="96"/>
    </row>
    <row r="688">
      <c r="D688" s="96"/>
    </row>
    <row r="689">
      <c r="D689" s="96"/>
    </row>
    <row r="690">
      <c r="D690" s="96"/>
    </row>
    <row r="691">
      <c r="D691" s="96"/>
    </row>
    <row r="692">
      <c r="D692" s="96"/>
    </row>
    <row r="693">
      <c r="D693" s="96"/>
    </row>
    <row r="694">
      <c r="D694" s="96"/>
    </row>
    <row r="695">
      <c r="D695" s="96"/>
    </row>
    <row r="696">
      <c r="D696" s="96"/>
    </row>
    <row r="697">
      <c r="D697" s="96"/>
    </row>
    <row r="698">
      <c r="D698" s="96"/>
    </row>
    <row r="699">
      <c r="D699" s="96"/>
    </row>
    <row r="700">
      <c r="D700" s="96"/>
    </row>
    <row r="701">
      <c r="D701" s="96"/>
    </row>
    <row r="702">
      <c r="D702" s="96"/>
    </row>
    <row r="703">
      <c r="D703" s="96"/>
    </row>
    <row r="704">
      <c r="D704" s="96"/>
    </row>
    <row r="705">
      <c r="D705" s="96"/>
    </row>
    <row r="706">
      <c r="D706" s="96"/>
    </row>
    <row r="707">
      <c r="D707" s="96"/>
    </row>
    <row r="708">
      <c r="D708" s="96"/>
    </row>
    <row r="709">
      <c r="D709" s="96"/>
    </row>
    <row r="710">
      <c r="D710" s="96"/>
    </row>
    <row r="711">
      <c r="D711" s="96"/>
    </row>
    <row r="712">
      <c r="D712" s="96"/>
    </row>
    <row r="713">
      <c r="D713" s="96"/>
    </row>
    <row r="714">
      <c r="D714" s="96"/>
    </row>
    <row r="715">
      <c r="D715" s="96"/>
    </row>
    <row r="716">
      <c r="D716" s="96"/>
    </row>
    <row r="717">
      <c r="D717" s="96"/>
    </row>
    <row r="718">
      <c r="D718" s="96"/>
    </row>
    <row r="719">
      <c r="D719" s="96"/>
    </row>
    <row r="720">
      <c r="D720" s="96"/>
    </row>
    <row r="721">
      <c r="D721" s="96"/>
    </row>
    <row r="722">
      <c r="D722" s="96"/>
    </row>
    <row r="723">
      <c r="D723" s="96"/>
    </row>
    <row r="724">
      <c r="D724" s="96"/>
    </row>
    <row r="725">
      <c r="D725" s="96"/>
    </row>
    <row r="726">
      <c r="D726" s="96"/>
    </row>
    <row r="727">
      <c r="D727" s="96"/>
    </row>
    <row r="728">
      <c r="D728" s="96"/>
    </row>
    <row r="729">
      <c r="D729" s="96"/>
    </row>
    <row r="730">
      <c r="D730" s="96"/>
    </row>
    <row r="731">
      <c r="D731" s="96"/>
    </row>
    <row r="732">
      <c r="D732" s="96"/>
    </row>
    <row r="733">
      <c r="D733" s="96"/>
    </row>
    <row r="734">
      <c r="D734" s="96"/>
    </row>
    <row r="735">
      <c r="D735" s="96"/>
    </row>
    <row r="736">
      <c r="D736" s="96"/>
    </row>
    <row r="737">
      <c r="D737" s="96"/>
    </row>
    <row r="738">
      <c r="D738" s="96"/>
    </row>
    <row r="739">
      <c r="D739" s="96"/>
    </row>
    <row r="740">
      <c r="D740" s="96"/>
    </row>
    <row r="741">
      <c r="D741" s="96"/>
    </row>
    <row r="742">
      <c r="D742" s="96"/>
    </row>
    <row r="743">
      <c r="D743" s="96"/>
    </row>
    <row r="744">
      <c r="D744" s="96"/>
    </row>
    <row r="745">
      <c r="D745" s="96"/>
    </row>
    <row r="746">
      <c r="D746" s="96"/>
    </row>
    <row r="747">
      <c r="D747" s="96"/>
    </row>
    <row r="748">
      <c r="D748" s="96"/>
    </row>
    <row r="749">
      <c r="D749" s="96"/>
    </row>
    <row r="750">
      <c r="D750" s="96"/>
    </row>
    <row r="751">
      <c r="D751" s="96"/>
    </row>
    <row r="752">
      <c r="D752" s="96"/>
    </row>
    <row r="753">
      <c r="D753" s="96"/>
    </row>
    <row r="754">
      <c r="D754" s="96"/>
    </row>
    <row r="755">
      <c r="D755" s="96"/>
    </row>
    <row r="756">
      <c r="D756" s="96"/>
    </row>
    <row r="757">
      <c r="D757" s="96"/>
    </row>
    <row r="758">
      <c r="D758" s="96"/>
    </row>
    <row r="759">
      <c r="D759" s="96"/>
    </row>
    <row r="760">
      <c r="D760" s="96"/>
    </row>
    <row r="761">
      <c r="D761" s="96"/>
    </row>
    <row r="762">
      <c r="D762" s="96"/>
    </row>
    <row r="763">
      <c r="D763" s="96"/>
    </row>
    <row r="764">
      <c r="D764" s="96"/>
    </row>
    <row r="765">
      <c r="D765" s="96"/>
    </row>
    <row r="766">
      <c r="D766" s="96"/>
    </row>
    <row r="767">
      <c r="D767" s="96"/>
    </row>
    <row r="768">
      <c r="D768" s="96"/>
    </row>
    <row r="769">
      <c r="D769" s="96"/>
    </row>
    <row r="770">
      <c r="D770" s="96"/>
    </row>
    <row r="771">
      <c r="D771" s="96"/>
    </row>
    <row r="772">
      <c r="D772" s="96"/>
    </row>
    <row r="773">
      <c r="D773" s="96"/>
    </row>
    <row r="774">
      <c r="D774" s="96"/>
    </row>
    <row r="775">
      <c r="D775" s="96"/>
    </row>
    <row r="776">
      <c r="D776" s="96"/>
    </row>
    <row r="777">
      <c r="D777" s="96"/>
    </row>
    <row r="778">
      <c r="D778" s="96"/>
    </row>
    <row r="779">
      <c r="D779" s="96"/>
    </row>
    <row r="780">
      <c r="D780" s="96"/>
    </row>
    <row r="781">
      <c r="D781" s="96"/>
    </row>
    <row r="782">
      <c r="D782" s="96"/>
    </row>
    <row r="783">
      <c r="D783" s="96"/>
    </row>
    <row r="784">
      <c r="D784" s="96"/>
    </row>
    <row r="785">
      <c r="D785" s="96"/>
    </row>
    <row r="786">
      <c r="D786" s="96"/>
    </row>
    <row r="787">
      <c r="D787" s="96"/>
    </row>
    <row r="788">
      <c r="D788" s="96"/>
    </row>
    <row r="789">
      <c r="D789" s="96"/>
    </row>
    <row r="790">
      <c r="D790" s="96"/>
    </row>
    <row r="791">
      <c r="D791" s="96"/>
    </row>
    <row r="792">
      <c r="D792" s="96"/>
    </row>
    <row r="793">
      <c r="D793" s="96"/>
    </row>
    <row r="794">
      <c r="D794" s="96"/>
    </row>
    <row r="795">
      <c r="D795" s="96"/>
    </row>
    <row r="796">
      <c r="D796" s="96"/>
    </row>
    <row r="797">
      <c r="D797" s="96"/>
    </row>
    <row r="798">
      <c r="D798" s="96"/>
    </row>
    <row r="799">
      <c r="D799" s="96"/>
    </row>
    <row r="800">
      <c r="D800" s="96"/>
    </row>
    <row r="801">
      <c r="D801" s="96"/>
    </row>
    <row r="802">
      <c r="D802" s="96"/>
    </row>
    <row r="803">
      <c r="D803" s="96"/>
    </row>
    <row r="804">
      <c r="D804" s="96"/>
    </row>
    <row r="805">
      <c r="D805" s="96"/>
    </row>
    <row r="806">
      <c r="D806" s="96"/>
    </row>
    <row r="807">
      <c r="D807" s="96"/>
    </row>
    <row r="808">
      <c r="D808" s="96"/>
    </row>
    <row r="809">
      <c r="D809" s="96"/>
    </row>
    <row r="810">
      <c r="D810" s="96"/>
    </row>
    <row r="811">
      <c r="D811" s="96"/>
    </row>
    <row r="812">
      <c r="D812" s="96"/>
    </row>
    <row r="813">
      <c r="D813" s="96"/>
    </row>
    <row r="814">
      <c r="D814" s="96"/>
    </row>
    <row r="815">
      <c r="D815" s="96"/>
    </row>
    <row r="816">
      <c r="D816" s="96"/>
    </row>
    <row r="817">
      <c r="D817" s="96"/>
    </row>
    <row r="818">
      <c r="D818" s="96"/>
    </row>
    <row r="819">
      <c r="D819" s="96"/>
    </row>
    <row r="820">
      <c r="D820" s="96"/>
    </row>
    <row r="821">
      <c r="D821" s="96"/>
    </row>
    <row r="822">
      <c r="D822" s="96"/>
    </row>
    <row r="823">
      <c r="D823" s="96"/>
    </row>
    <row r="824">
      <c r="D824" s="96"/>
    </row>
    <row r="825">
      <c r="D825" s="96"/>
    </row>
    <row r="826">
      <c r="D826" s="96"/>
    </row>
    <row r="827">
      <c r="D827" s="96"/>
    </row>
    <row r="828">
      <c r="D828" s="96"/>
    </row>
    <row r="829">
      <c r="D829" s="96"/>
    </row>
    <row r="830">
      <c r="D830" s="96"/>
    </row>
    <row r="831">
      <c r="D831" s="96"/>
    </row>
    <row r="832">
      <c r="D832" s="96"/>
    </row>
    <row r="833">
      <c r="D833" s="96"/>
    </row>
    <row r="834">
      <c r="D834" s="96"/>
    </row>
    <row r="835">
      <c r="D835" s="96"/>
    </row>
    <row r="836">
      <c r="D836" s="96"/>
    </row>
    <row r="837">
      <c r="D837" s="96"/>
    </row>
    <row r="838">
      <c r="D838" s="96"/>
    </row>
    <row r="839">
      <c r="D839" s="96"/>
    </row>
    <row r="840">
      <c r="D840" s="96"/>
    </row>
    <row r="841">
      <c r="D841" s="96"/>
    </row>
    <row r="842">
      <c r="D842" s="96"/>
    </row>
    <row r="843">
      <c r="D843" s="96"/>
    </row>
    <row r="844">
      <c r="D844" s="96"/>
    </row>
    <row r="845">
      <c r="D845" s="96"/>
    </row>
    <row r="846">
      <c r="D846" s="96"/>
    </row>
    <row r="847">
      <c r="D847" s="96"/>
    </row>
    <row r="848">
      <c r="D848" s="96"/>
    </row>
    <row r="849">
      <c r="D849" s="96"/>
    </row>
    <row r="850">
      <c r="D850" s="96"/>
    </row>
    <row r="851">
      <c r="D851" s="96"/>
    </row>
    <row r="852">
      <c r="D852" s="96"/>
    </row>
    <row r="853">
      <c r="D853" s="96"/>
    </row>
    <row r="854">
      <c r="D854" s="96"/>
    </row>
    <row r="855">
      <c r="D855" s="96"/>
    </row>
    <row r="856">
      <c r="D856" s="96"/>
    </row>
    <row r="857">
      <c r="D857" s="96"/>
    </row>
    <row r="858">
      <c r="D858" s="96"/>
    </row>
    <row r="859">
      <c r="D859" s="96"/>
    </row>
    <row r="860">
      <c r="D860" s="96"/>
    </row>
    <row r="861">
      <c r="D861" s="96"/>
    </row>
    <row r="862">
      <c r="D862" s="96"/>
    </row>
    <row r="863">
      <c r="D863" s="96"/>
    </row>
    <row r="864">
      <c r="D864" s="96"/>
    </row>
    <row r="865">
      <c r="D865" s="96"/>
    </row>
    <row r="866">
      <c r="D866" s="96"/>
    </row>
    <row r="867">
      <c r="D867" s="96"/>
    </row>
    <row r="868">
      <c r="D868" s="96"/>
    </row>
    <row r="869">
      <c r="D869" s="96"/>
    </row>
    <row r="870">
      <c r="D870" s="96"/>
    </row>
    <row r="871">
      <c r="D871" s="96"/>
    </row>
    <row r="872">
      <c r="D872" s="96"/>
    </row>
    <row r="873">
      <c r="D873" s="96"/>
    </row>
    <row r="874">
      <c r="D874" s="96"/>
    </row>
    <row r="875">
      <c r="D875" s="96"/>
    </row>
    <row r="876">
      <c r="D876" s="96"/>
    </row>
    <row r="877">
      <c r="D877" s="96"/>
    </row>
    <row r="878">
      <c r="D878" s="96"/>
    </row>
    <row r="879">
      <c r="D879" s="96"/>
    </row>
    <row r="880">
      <c r="D880" s="96"/>
    </row>
    <row r="881">
      <c r="D881" s="96"/>
    </row>
    <row r="882">
      <c r="D882" s="96"/>
    </row>
    <row r="883">
      <c r="D883" s="96"/>
    </row>
    <row r="884">
      <c r="D884" s="96"/>
    </row>
    <row r="885">
      <c r="D885" s="96"/>
    </row>
    <row r="886">
      <c r="D886" s="96"/>
    </row>
    <row r="887">
      <c r="D887" s="96"/>
    </row>
    <row r="888">
      <c r="D888" s="96"/>
    </row>
    <row r="889">
      <c r="D889" s="96"/>
    </row>
    <row r="890">
      <c r="D890" s="96"/>
    </row>
    <row r="891">
      <c r="D891" s="96"/>
    </row>
    <row r="892">
      <c r="D892" s="96"/>
    </row>
    <row r="893">
      <c r="D893" s="96"/>
    </row>
    <row r="894">
      <c r="D894" s="96"/>
    </row>
    <row r="895">
      <c r="D895" s="96"/>
    </row>
    <row r="896">
      <c r="D896" s="96"/>
    </row>
    <row r="897">
      <c r="D897" s="96"/>
    </row>
    <row r="898">
      <c r="D898" s="96"/>
    </row>
    <row r="899">
      <c r="D899" s="96"/>
    </row>
    <row r="900">
      <c r="D900" s="96"/>
    </row>
    <row r="901">
      <c r="D901" s="96"/>
    </row>
    <row r="902">
      <c r="D902" s="96"/>
    </row>
    <row r="903">
      <c r="D903" s="96"/>
    </row>
    <row r="904">
      <c r="D904" s="96"/>
    </row>
    <row r="905">
      <c r="D905" s="96"/>
    </row>
    <row r="906">
      <c r="D906" s="96"/>
    </row>
    <row r="907">
      <c r="D907" s="96"/>
    </row>
    <row r="908">
      <c r="D908" s="96"/>
    </row>
    <row r="909">
      <c r="D909" s="96"/>
    </row>
    <row r="910">
      <c r="D910" s="96"/>
    </row>
    <row r="911">
      <c r="D911" s="96"/>
    </row>
    <row r="912">
      <c r="D912" s="96"/>
    </row>
    <row r="913">
      <c r="D913" s="96"/>
    </row>
    <row r="914">
      <c r="D914" s="96"/>
    </row>
    <row r="915">
      <c r="D915" s="96"/>
    </row>
    <row r="916">
      <c r="D916" s="96"/>
    </row>
    <row r="917">
      <c r="D917" s="96"/>
    </row>
    <row r="918">
      <c r="D918" s="96"/>
    </row>
    <row r="919">
      <c r="D919" s="96"/>
    </row>
    <row r="920">
      <c r="D920" s="96"/>
    </row>
    <row r="921">
      <c r="D921" s="96"/>
    </row>
    <row r="922">
      <c r="D922" s="96"/>
    </row>
    <row r="923">
      <c r="D923" s="96"/>
    </row>
    <row r="924">
      <c r="D924" s="96"/>
    </row>
    <row r="925">
      <c r="D925" s="96"/>
    </row>
    <row r="926">
      <c r="D926" s="96"/>
    </row>
    <row r="927">
      <c r="D927" s="96"/>
    </row>
    <row r="928">
      <c r="D928" s="96"/>
    </row>
    <row r="929">
      <c r="D929" s="96"/>
    </row>
    <row r="930">
      <c r="D930" s="96"/>
    </row>
    <row r="931">
      <c r="D931" s="96"/>
    </row>
    <row r="932">
      <c r="D932" s="96"/>
    </row>
    <row r="933">
      <c r="D933" s="96"/>
    </row>
    <row r="934">
      <c r="D934" s="96"/>
    </row>
    <row r="935">
      <c r="D935" s="96"/>
    </row>
    <row r="936">
      <c r="D936" s="96"/>
    </row>
    <row r="937">
      <c r="D937" s="96"/>
    </row>
    <row r="938">
      <c r="D938" s="96"/>
    </row>
    <row r="939">
      <c r="D939" s="96"/>
    </row>
    <row r="940">
      <c r="D940" s="96"/>
    </row>
    <row r="941">
      <c r="D941" s="96"/>
    </row>
    <row r="942">
      <c r="D942" s="96"/>
    </row>
    <row r="943">
      <c r="D943" s="96"/>
    </row>
    <row r="944">
      <c r="D944" s="96"/>
    </row>
    <row r="945">
      <c r="D945" s="96"/>
    </row>
    <row r="946">
      <c r="D946" s="96"/>
    </row>
    <row r="947">
      <c r="D947" s="96"/>
    </row>
    <row r="948">
      <c r="D948" s="96"/>
    </row>
    <row r="949">
      <c r="D949" s="96"/>
    </row>
    <row r="950">
      <c r="D950" s="96"/>
    </row>
    <row r="951">
      <c r="D951" s="96"/>
    </row>
    <row r="952">
      <c r="D952" s="96"/>
    </row>
    <row r="953">
      <c r="D953" s="96"/>
    </row>
    <row r="954">
      <c r="D954" s="96"/>
    </row>
    <row r="955">
      <c r="D955" s="96"/>
    </row>
    <row r="956">
      <c r="D956" s="96"/>
    </row>
    <row r="957">
      <c r="D957" s="96"/>
    </row>
    <row r="958">
      <c r="D958" s="96"/>
    </row>
    <row r="959">
      <c r="D959" s="96"/>
    </row>
    <row r="960">
      <c r="D960" s="96"/>
    </row>
    <row r="961">
      <c r="D961" s="96"/>
    </row>
    <row r="962">
      <c r="D962" s="96"/>
    </row>
    <row r="963">
      <c r="D963" s="96"/>
    </row>
    <row r="964">
      <c r="D964" s="96"/>
    </row>
    <row r="965">
      <c r="D965" s="96"/>
    </row>
    <row r="966">
      <c r="D966" s="96"/>
    </row>
    <row r="967">
      <c r="D967" s="96"/>
    </row>
    <row r="968">
      <c r="D968" s="96"/>
    </row>
    <row r="969">
      <c r="D969" s="96"/>
    </row>
    <row r="970">
      <c r="D970" s="96"/>
    </row>
    <row r="971">
      <c r="D971" s="96"/>
    </row>
    <row r="972">
      <c r="D972" s="96"/>
    </row>
    <row r="973">
      <c r="D973" s="96"/>
    </row>
    <row r="974">
      <c r="D974" s="96"/>
    </row>
    <row r="975">
      <c r="D975" s="96"/>
    </row>
    <row r="976">
      <c r="D976" s="96"/>
    </row>
    <row r="977">
      <c r="D977" s="96"/>
    </row>
    <row r="978">
      <c r="D978" s="96"/>
    </row>
    <row r="979">
      <c r="D979" s="96"/>
    </row>
    <row r="980">
      <c r="D980" s="96"/>
    </row>
    <row r="981">
      <c r="D981" s="96"/>
    </row>
    <row r="982">
      <c r="D982" s="96"/>
    </row>
    <row r="983">
      <c r="D983" s="96"/>
    </row>
    <row r="984">
      <c r="D984" s="96"/>
    </row>
    <row r="985">
      <c r="D985" s="96"/>
    </row>
    <row r="986">
      <c r="D986" s="96"/>
    </row>
    <row r="987">
      <c r="D987" s="96"/>
    </row>
    <row r="988">
      <c r="D988" s="96"/>
    </row>
    <row r="989">
      <c r="D989" s="96"/>
    </row>
    <row r="990">
      <c r="D990" s="96"/>
    </row>
    <row r="991">
      <c r="D991" s="96"/>
    </row>
    <row r="992">
      <c r="D992" s="96"/>
    </row>
    <row r="993">
      <c r="D993" s="96"/>
    </row>
    <row r="994">
      <c r="D994" s="96"/>
    </row>
    <row r="995">
      <c r="D995" s="96"/>
    </row>
    <row r="996">
      <c r="D996" s="96"/>
    </row>
    <row r="997">
      <c r="D997" s="96"/>
    </row>
    <row r="998">
      <c r="D998" s="96"/>
    </row>
  </sheetData>
  <drawing r:id="rId4"/>
  <legacyDrawing r:id="rId5"/>
</worksheet>
</file>